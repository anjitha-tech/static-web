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c75bcfef23d159/Desktop/"/>
    </mc:Choice>
  </mc:AlternateContent>
  <xr:revisionPtr revIDLastSave="164" documentId="13_ncr:1_{AE4BBDD0-E47E-4038-B086-A9314CB96A26}" xr6:coauthVersionLast="47" xr6:coauthVersionMax="47" xr10:uidLastSave="{1165FDFE-3270-44E6-8538-E12A11D5E8A1}"/>
  <bookViews>
    <workbookView xWindow="-108" yWindow="-108" windowWidth="23256" windowHeight="12456" activeTab="2" xr2:uid="{00000000-000D-0000-FFFF-FFFF00000000}"/>
  </bookViews>
  <sheets>
    <sheet name="Article Master" sheetId="2" r:id="rId1"/>
    <sheet name="Sheet1" sheetId="4" state="hidden" r:id="rId2"/>
    <sheet name="Work Sheet" sheetId="3" r:id="rId3"/>
    <sheet name="Overall Total Value" sheetId="5" r:id="rId4"/>
    <sheet name="Sheet5" sheetId="9" r:id="rId5"/>
  </sheets>
  <definedNames>
    <definedName name="_xlnm._FilterDatabase" localSheetId="0" hidden="1">'Article Master'!$A$1:$E$120</definedName>
    <definedName name="_xlnm._FilterDatabase" localSheetId="2" hidden="1">'Work Sheet'!$A$5:$AJ$155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3" i="5" l="1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E155" i="3" l="1"/>
  <c r="D155" i="3"/>
  <c r="E154" i="3"/>
  <c r="D154" i="3"/>
  <c r="E153" i="3"/>
  <c r="D153" i="3"/>
  <c r="E152" i="3"/>
  <c r="D152" i="3"/>
  <c r="E151" i="3"/>
  <c r="D151" i="3"/>
  <c r="E150" i="3"/>
  <c r="D150" i="3"/>
  <c r="E149" i="3"/>
  <c r="D149" i="3"/>
  <c r="E148" i="3"/>
  <c r="D148" i="3"/>
  <c r="E147" i="3"/>
  <c r="D147" i="3"/>
  <c r="E146" i="3"/>
  <c r="D146" i="3"/>
  <c r="E145" i="3"/>
  <c r="D145" i="3"/>
  <c r="E144" i="3"/>
  <c r="D144" i="3"/>
  <c r="E143" i="3"/>
  <c r="D143" i="3"/>
  <c r="E142" i="3"/>
  <c r="D142" i="3"/>
  <c r="E141" i="3"/>
  <c r="D141" i="3"/>
  <c r="E140" i="3"/>
  <c r="D140" i="3"/>
  <c r="E139" i="3"/>
  <c r="D139" i="3"/>
  <c r="E138" i="3"/>
  <c r="D138" i="3"/>
  <c r="E137" i="3"/>
  <c r="D137" i="3"/>
  <c r="E136" i="3"/>
  <c r="D136" i="3"/>
  <c r="E135" i="3"/>
  <c r="D135" i="3"/>
  <c r="E134" i="3"/>
  <c r="D134" i="3"/>
  <c r="E133" i="3"/>
  <c r="D133" i="3"/>
  <c r="E132" i="3"/>
  <c r="D132" i="3"/>
  <c r="E131" i="3"/>
  <c r="D131" i="3"/>
  <c r="E130" i="3"/>
  <c r="D130" i="3"/>
  <c r="E129" i="3"/>
  <c r="D129" i="3"/>
  <c r="E128" i="3"/>
  <c r="D128" i="3"/>
  <c r="E127" i="3"/>
  <c r="D127" i="3"/>
  <c r="E126" i="3"/>
  <c r="D126" i="3"/>
  <c r="E125" i="3"/>
  <c r="D125" i="3"/>
  <c r="E124" i="3"/>
  <c r="D124" i="3"/>
  <c r="E123" i="3"/>
  <c r="D123" i="3"/>
  <c r="E122" i="3"/>
  <c r="D122" i="3"/>
  <c r="E121" i="3"/>
  <c r="D121" i="3"/>
  <c r="E120" i="3"/>
  <c r="D120" i="3"/>
  <c r="E119" i="3"/>
  <c r="D119" i="3"/>
  <c r="E118" i="3"/>
  <c r="D118" i="3"/>
  <c r="E117" i="3"/>
  <c r="D117" i="3"/>
  <c r="E116" i="3"/>
  <c r="D116" i="3"/>
  <c r="E115" i="3"/>
  <c r="D115" i="3"/>
  <c r="E114" i="3"/>
  <c r="D114" i="3"/>
  <c r="E113" i="3"/>
  <c r="D113" i="3"/>
  <c r="E112" i="3"/>
  <c r="D112" i="3"/>
  <c r="E111" i="3"/>
  <c r="D111" i="3"/>
  <c r="E110" i="3"/>
  <c r="D110" i="3"/>
  <c r="E109" i="3"/>
  <c r="D109" i="3"/>
  <c r="E108" i="3"/>
  <c r="D108" i="3"/>
  <c r="E107" i="3"/>
  <c r="D107" i="3"/>
  <c r="E106" i="3"/>
  <c r="D106" i="3"/>
  <c r="E105" i="3"/>
  <c r="D105" i="3"/>
  <c r="E104" i="3"/>
  <c r="D104" i="3"/>
  <c r="E103" i="3"/>
  <c r="D103" i="3"/>
  <c r="E102" i="3"/>
  <c r="D102" i="3"/>
  <c r="E101" i="3"/>
  <c r="D101" i="3"/>
  <c r="E100" i="3"/>
  <c r="D100" i="3"/>
  <c r="E99" i="3"/>
  <c r="D99" i="3"/>
  <c r="E98" i="3"/>
  <c r="D98" i="3"/>
  <c r="E97" i="3"/>
  <c r="D97" i="3"/>
  <c r="E96" i="3"/>
  <c r="D96" i="3"/>
  <c r="E95" i="3"/>
  <c r="D95" i="3"/>
  <c r="E94" i="3"/>
  <c r="D94" i="3"/>
  <c r="E93" i="3"/>
  <c r="D93" i="3"/>
  <c r="E92" i="3"/>
  <c r="D92" i="3"/>
  <c r="E91" i="3"/>
  <c r="D91" i="3"/>
  <c r="E90" i="3"/>
  <c r="D90" i="3"/>
  <c r="E89" i="3"/>
  <c r="D89" i="3"/>
  <c r="E88" i="3"/>
  <c r="D88" i="3"/>
  <c r="E87" i="3"/>
  <c r="D87" i="3"/>
  <c r="E86" i="3"/>
  <c r="D86" i="3"/>
  <c r="E85" i="3"/>
  <c r="D85" i="3"/>
  <c r="D14" i="3" l="1"/>
  <c r="E7" i="3" l="1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D10" i="3" l="1"/>
  <c r="D9" i="3"/>
  <c r="D73" i="3"/>
  <c r="E6" i="3"/>
  <c r="L2" i="3" s="1"/>
  <c r="D7" i="3"/>
  <c r="D8" i="3"/>
  <c r="D11" i="3"/>
  <c r="D12" i="3"/>
  <c r="D13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4" i="3"/>
  <c r="D65" i="3"/>
  <c r="D66" i="3"/>
  <c r="D67" i="3"/>
  <c r="D68" i="3"/>
  <c r="D69" i="3"/>
  <c r="D70" i="3"/>
  <c r="D71" i="3"/>
  <c r="D72" i="3"/>
  <c r="D74" i="3"/>
  <c r="D75" i="3"/>
  <c r="D76" i="3"/>
  <c r="D77" i="3"/>
  <c r="D78" i="3"/>
  <c r="D79" i="3"/>
  <c r="D80" i="3"/>
  <c r="D81" i="3"/>
  <c r="D82" i="3"/>
  <c r="D83" i="3"/>
  <c r="D84" i="3"/>
  <c r="D6" i="3"/>
  <c r="BF2" i="3" l="1"/>
  <c r="I2" i="3"/>
  <c r="BE2" i="3"/>
  <c r="G2" i="3"/>
  <c r="AL2" i="3"/>
  <c r="AI2" i="3"/>
  <c r="AJ2" i="3"/>
  <c r="AT2" i="3"/>
  <c r="BB2" i="3"/>
  <c r="AN2" i="3"/>
  <c r="AZ2" i="3"/>
  <c r="AU2" i="3"/>
  <c r="AO2" i="3"/>
  <c r="AQ2" i="3"/>
  <c r="BC2" i="3"/>
  <c r="AW2" i="3"/>
  <c r="AR2" i="3"/>
  <c r="BD2" i="3"/>
  <c r="AP2" i="3"/>
  <c r="AK2" i="3"/>
  <c r="AM2" i="3"/>
  <c r="AX2" i="3"/>
  <c r="AS2" i="3"/>
  <c r="AV2" i="3"/>
  <c r="AY2" i="3"/>
  <c r="BA2" i="3"/>
  <c r="Q2" i="3"/>
  <c r="Y2" i="3"/>
  <c r="J2" i="3"/>
  <c r="R2" i="3"/>
  <c r="Z2" i="3"/>
  <c r="K2" i="3"/>
  <c r="S2" i="3"/>
  <c r="AA2" i="3"/>
  <c r="H2" i="3"/>
  <c r="AC2" i="3"/>
  <c r="T2" i="3"/>
  <c r="AB2" i="3"/>
  <c r="AD2" i="3"/>
  <c r="M2" i="3"/>
  <c r="U2" i="3"/>
  <c r="AF2" i="3"/>
  <c r="N2" i="3"/>
  <c r="V2" i="3"/>
  <c r="AG2" i="3"/>
  <c r="O2" i="3"/>
  <c r="W2" i="3"/>
  <c r="AE2" i="3"/>
  <c r="P2" i="3"/>
  <c r="X2" i="3"/>
  <c r="AH2" i="3"/>
  <c r="L23" i="5"/>
  <c r="N23" i="5"/>
  <c r="M23" i="5"/>
  <c r="J23" i="5"/>
  <c r="I23" i="5"/>
  <c r="K23" i="5"/>
  <c r="G23" i="5"/>
  <c r="F23" i="5"/>
  <c r="H23" i="5"/>
  <c r="C23" i="5"/>
  <c r="C3" i="5"/>
  <c r="S23" i="5"/>
  <c r="S3" i="5"/>
  <c r="Q23" i="5"/>
  <c r="Q3" i="5"/>
  <c r="R23" i="5"/>
  <c r="R3" i="5"/>
  <c r="O23" i="5"/>
  <c r="O3" i="5"/>
  <c r="D23" i="5"/>
  <c r="D3" i="5"/>
  <c r="P23" i="5"/>
  <c r="P3" i="5"/>
  <c r="V23" i="5"/>
  <c r="V3" i="5"/>
  <c r="T3" i="5"/>
  <c r="T23" i="5"/>
  <c r="E3" i="5"/>
  <c r="E23" i="5"/>
  <c r="U3" i="5"/>
  <c r="U23" i="5"/>
</calcChain>
</file>

<file path=xl/sharedStrings.xml><?xml version="1.0" encoding="utf-8"?>
<sst xmlns="http://schemas.openxmlformats.org/spreadsheetml/2006/main" count="888" uniqueCount="372">
  <si>
    <t>5997600792</t>
  </si>
  <si>
    <t>CERAMIC COATING</t>
  </si>
  <si>
    <t>09929208</t>
  </si>
  <si>
    <t>WNDWPROTFOIL-BLCK-VLT75PERCNT-2PLY-100FT</t>
  </si>
  <si>
    <t>089025</t>
  </si>
  <si>
    <t>WSCRNCLNR-ACTIVE-500ML</t>
  </si>
  <si>
    <t>0899900117</t>
  </si>
  <si>
    <t>MICROCLTH-BLUE-40X40CM</t>
  </si>
  <si>
    <t>5997655753</t>
  </si>
  <si>
    <t>RUBBING &amp; FINISING COMPOUND 1KG</t>
  </si>
  <si>
    <t>0893221525</t>
  </si>
  <si>
    <t>SILSPR-500ML</t>
  </si>
  <si>
    <t>0893033</t>
  </si>
  <si>
    <t>CLNR-VEH-IN-ACTIVE-500ML</t>
  </si>
  <si>
    <t>0892077150</t>
  </si>
  <si>
    <t>MARTENPROTSPR-250ML</t>
  </si>
  <si>
    <t>0893152001</t>
  </si>
  <si>
    <t>POL-NEWPAINT-1LTR</t>
  </si>
  <si>
    <t>0892072</t>
  </si>
  <si>
    <t>UBS-PERMANENT-SPRAYABLE-BLACK-1000ML</t>
  </si>
  <si>
    <t>0893463001</t>
  </si>
  <si>
    <t>POL-DIAMOND-CUT-PREMIUM-1LTR</t>
  </si>
  <si>
    <t>0893764158</t>
  </si>
  <si>
    <t>A/C-CLNR-VEH-QUICKFRESH-FRESH-150ML</t>
  </si>
  <si>
    <t>0892082105</t>
  </si>
  <si>
    <t>CAVWAX-BEIGE-500ML</t>
  </si>
  <si>
    <t>5997661901</t>
  </si>
  <si>
    <t>AC FOAM CLEANER</t>
  </si>
  <si>
    <t>0893477125</t>
  </si>
  <si>
    <t>PLACARE-VINYL-5LTR</t>
  </si>
  <si>
    <t>089347425</t>
  </si>
  <si>
    <t>CLNR-VEH-IN-BEIGE-5LTR</t>
  </si>
  <si>
    <t>089301305</t>
  </si>
  <si>
    <t>ENGCLNR-ENGINEWASH-5LTR</t>
  </si>
  <si>
    <t>0893151101</t>
  </si>
  <si>
    <t>POL-PAINTRESTORATION-1LTR</t>
  </si>
  <si>
    <t>NDI0000188</t>
  </si>
  <si>
    <t>FOAM PAD YELLOW</t>
  </si>
  <si>
    <t>0893477121</t>
  </si>
  <si>
    <t>PLACARE-VINYL-1LTR</t>
  </si>
  <si>
    <t>0893118825</t>
  </si>
  <si>
    <t>WRKSHPCLNR-BMF-TROPIC-5LTR</t>
  </si>
  <si>
    <t>NDI0000196</t>
  </si>
  <si>
    <t>WOOL GRIP PAD</t>
  </si>
  <si>
    <t>089347421</t>
  </si>
  <si>
    <t>CLNR-VEH-IN-BEIGE-1LTR</t>
  </si>
  <si>
    <t>089026</t>
  </si>
  <si>
    <t>TARREM-300ML</t>
  </si>
  <si>
    <t>0893113120</t>
  </si>
  <si>
    <t>ZNSPR-ZINCGREY-400ML</t>
  </si>
  <si>
    <t>5717010010</t>
  </si>
  <si>
    <t>POLSHR-EL-(EPM 2000-7)-1200W</t>
  </si>
  <si>
    <t>09929207</t>
  </si>
  <si>
    <t>WNDWPROTFOIL-BLCK-VLT50PERCNT-2PLY-100FT</t>
  </si>
  <si>
    <t>NDI0000131</t>
  </si>
  <si>
    <t>WUERTH CAR CLEANER 5 LTR</t>
  </si>
  <si>
    <t>5997580621</t>
  </si>
  <si>
    <t>SOFT BRUSH</t>
  </si>
  <si>
    <t>5997633518</t>
  </si>
  <si>
    <t>UNDERB BODY SEAL 10 LTR</t>
  </si>
  <si>
    <t>0892082100</t>
  </si>
  <si>
    <t>CAVWAX-BEIGE-1000ML</t>
  </si>
  <si>
    <t>0890104</t>
  </si>
  <si>
    <t>BTRYTRMLGRSE-PROTECTOR-150ML</t>
  </si>
  <si>
    <t>0892075200</t>
  </si>
  <si>
    <t>STNIMPPROT-UBS-BLACK-1000ML</t>
  </si>
  <si>
    <t>0893012026</t>
  </si>
  <si>
    <t>PAINT SPRAY-HIGHTEMP-ALUMINIUM-300ML</t>
  </si>
  <si>
    <t>089012 505</t>
  </si>
  <si>
    <t>TREGLO-MILKYWHITE-5LTR</t>
  </si>
  <si>
    <t>NDI0000091</t>
  </si>
  <si>
    <t>WU CAR SHAMPOO 35 LTR.</t>
  </si>
  <si>
    <t>0893106</t>
  </si>
  <si>
    <t>ADHLUB-HHS2000-500ML</t>
  </si>
  <si>
    <t>0890200011</t>
  </si>
  <si>
    <t>RUSTREM-300G</t>
  </si>
  <si>
    <t>NDI0000132</t>
  </si>
  <si>
    <t>WUERTH CAR CLEANER 1 LTR</t>
  </si>
  <si>
    <t>0892790</t>
  </si>
  <si>
    <t>ENGPROTLAC-400ML</t>
  </si>
  <si>
    <t>08931571</t>
  </si>
  <si>
    <t>POLCOMPD-210G</t>
  </si>
  <si>
    <t>08930126</t>
  </si>
  <si>
    <t>LACWRKSEAL-GLOSS-250ML</t>
  </si>
  <si>
    <t>0893476</t>
  </si>
  <si>
    <t>RIMCLNR-INTENSIVE-SPRAYBOTTLE-1LTR</t>
  </si>
  <si>
    <t>0585026170</t>
  </si>
  <si>
    <t>POLPAD-ORANGE-SOFT-D170X30MM</t>
  </si>
  <si>
    <t>0585025145</t>
  </si>
  <si>
    <t>POLPAD-GREEN-(EXTRA-HARD)-D145X25MM</t>
  </si>
  <si>
    <t>0585027145</t>
  </si>
  <si>
    <t>POLPAD-BLUE-HARD-D145X25MM</t>
  </si>
  <si>
    <t>0893150010</t>
  </si>
  <si>
    <t>POL-(FASTCUT PLUS)-P10-1KG</t>
  </si>
  <si>
    <t>0893150020</t>
  </si>
  <si>
    <t>POL-(HIGHGLOSS PLUS)-P20-1KG</t>
  </si>
  <si>
    <t>0893150030</t>
  </si>
  <si>
    <t>POL-(ANTIHOLOGRAMM PLUS)-P30-1KG</t>
  </si>
  <si>
    <t>0893114115</t>
  </si>
  <si>
    <t>ALUSPR-PERFECT-400ML</t>
  </si>
  <si>
    <t>0891503001</t>
  </si>
  <si>
    <t>PMPSPRBTL-PLA-EMPTY-1LTR</t>
  </si>
  <si>
    <t>0893022002</t>
  </si>
  <si>
    <t>CLNR-VEH-CHERRY-1LTR</t>
  </si>
  <si>
    <t>0893022003</t>
  </si>
  <si>
    <t>CLNR-VEH-CHERRY-5LTR</t>
  </si>
  <si>
    <t>5997661621</t>
  </si>
  <si>
    <t>PROTECTIVE SILENCER COATING 500ML</t>
  </si>
  <si>
    <t>0890100060</t>
  </si>
  <si>
    <t>SOUADSORBPLT-ALU-GREY-550X250X2-6PCS</t>
  </si>
  <si>
    <t>089012 035</t>
  </si>
  <si>
    <t>TREGLO-MILKYWHITE-30LTR</t>
  </si>
  <si>
    <t>0585025170</t>
  </si>
  <si>
    <t>POLPAD-GREEN-(EXTRA-HARD)-D170X25MM</t>
  </si>
  <si>
    <t>0585027170</t>
  </si>
  <si>
    <t>POLPAD-BLUE-HARD-D170X30MM</t>
  </si>
  <si>
    <t>0899900119</t>
  </si>
  <si>
    <t>MICROCLTH-PESFBR-YELLOW-107C-40X40CM</t>
  </si>
  <si>
    <t>0893764003</t>
  </si>
  <si>
    <t>CLNAGNT-A/C EVAPORATOR-PURIFY-250ML</t>
  </si>
  <si>
    <t>NDI0000101</t>
  </si>
  <si>
    <t>MULTIPURPOSE CLEANER  500 ML</t>
  </si>
  <si>
    <t>0893764310</t>
  </si>
  <si>
    <t>CLNAGNT-A/C-CAR-300ML</t>
  </si>
  <si>
    <t>0587004</t>
  </si>
  <si>
    <t>SANDSPNG-(ALU-OXYD)-GREY-G1500</t>
  </si>
  <si>
    <t>0584112000</t>
  </si>
  <si>
    <t>WSPAP-(SILIC-CA)-WTRPROF-P2000-230X280</t>
  </si>
  <si>
    <t>NDI0000103</t>
  </si>
  <si>
    <t>GLASS CLEANER 500 ML</t>
  </si>
  <si>
    <t>0899700400</t>
  </si>
  <si>
    <t>CLNSPNG-CAR</t>
  </si>
  <si>
    <t>0584111500</t>
  </si>
  <si>
    <t>WABRPAP-(SILIC-CA)-WTRPROF-P1500-230X280</t>
  </si>
  <si>
    <t>0893114113</t>
  </si>
  <si>
    <t>ZNSPR-PERFECT-400ML</t>
  </si>
  <si>
    <t>0699999000</t>
  </si>
  <si>
    <t>NPL-NIPL-1/4ET</t>
  </si>
  <si>
    <t>NDI0000264</t>
  </si>
  <si>
    <t>157MM SUPPORT PAD FOR VC FOAM - CUPPED W</t>
  </si>
  <si>
    <t>08911063</t>
  </si>
  <si>
    <t>UBSSPRGUN-R1/4IN-BOTTLE-1LTR</t>
  </si>
  <si>
    <t>089940407</t>
  </si>
  <si>
    <t>PROTGLOV-SPEC-COTTON-B40-G7-SZ9-GREY</t>
  </si>
  <si>
    <t>0891612</t>
  </si>
  <si>
    <t>CLNGUN-PN-ENGCLNR-750ML</t>
  </si>
  <si>
    <t>0893140</t>
  </si>
  <si>
    <t>LBLREM-(INDUSTRY-CLEANER)-AEROCAN-500ML</t>
  </si>
  <si>
    <t>08931211</t>
  </si>
  <si>
    <t>METRSTRR-400G</t>
  </si>
  <si>
    <t>0890102</t>
  </si>
  <si>
    <t>RIMCLNR-ALU-SPRAYBOTTLE-500ML</t>
  </si>
  <si>
    <t>058520030</t>
  </si>
  <si>
    <t>POLSPNG-D200X30</t>
  </si>
  <si>
    <t>0585026145</t>
  </si>
  <si>
    <t>POLPAD-ORANGE-SOFT-D145X25MM</t>
  </si>
  <si>
    <t>0893150032</t>
  </si>
  <si>
    <t>POL-(ANTIHOLOGRAMM PLUS)-P30-250G</t>
  </si>
  <si>
    <t>5997592160</t>
  </si>
  <si>
    <t>UNDERBBODY SEAL 20L</t>
  </si>
  <si>
    <t>5997638643</t>
  </si>
  <si>
    <t>MICROQUICK BLUE - 40X40 CM MICROFIBRE WI</t>
  </si>
  <si>
    <t>NDI0000271</t>
  </si>
  <si>
    <t>RUBBING AND COMPOUNDING PAD DIA 200MM</t>
  </si>
  <si>
    <t>089943510</t>
  </si>
  <si>
    <t>PROTGLOV-CHEM-NTR-330MM-SZ10</t>
  </si>
  <si>
    <t>5997661902</t>
  </si>
  <si>
    <t>PAINT POLISH 1LTR</t>
  </si>
  <si>
    <t>0702991343</t>
  </si>
  <si>
    <t>RDBRSH-VC-38MM-702400801/02/03</t>
  </si>
  <si>
    <t>089310652</t>
  </si>
  <si>
    <t>ADHLUB-500ML</t>
  </si>
  <si>
    <t>0702991338</t>
  </si>
  <si>
    <t>FLEXHOSE-F.VC-0702400801/02/03-38MMX2M</t>
  </si>
  <si>
    <t>0992068024</t>
  </si>
  <si>
    <t>MASKTPE-CREPE-24MMX30M</t>
  </si>
  <si>
    <t>0992068025</t>
  </si>
  <si>
    <t>MASKTPE-CREPE-WHITE/BROWN-24MMX50M</t>
  </si>
  <si>
    <t>NDI0000198</t>
  </si>
  <si>
    <t>BACKUP PLATE</t>
  </si>
  <si>
    <t>0890121525</t>
  </si>
  <si>
    <t>TRECAREFM-500ML</t>
  </si>
  <si>
    <t>0891564</t>
  </si>
  <si>
    <t>AY-SPRAYPIPE-SYSCLNR-VEH</t>
  </si>
  <si>
    <t>0899900050</t>
  </si>
  <si>
    <t>MICROCLTH-BASIC-GREEN-40X40CM</t>
  </si>
  <si>
    <t>0899700005</t>
  </si>
  <si>
    <t>DSTCLTH-32X100CM</t>
  </si>
  <si>
    <t>5997623023</t>
  </si>
  <si>
    <t>VACCUM CLEANER 32 LTR</t>
  </si>
  <si>
    <t>0892333032</t>
  </si>
  <si>
    <t>CLNR-WSCRN-SUM-RAPID-CONC-32ML</t>
  </si>
  <si>
    <t>0891502003</t>
  </si>
  <si>
    <t>SPRBTL-SCAL-1000ML</t>
  </si>
  <si>
    <t>08902205</t>
  </si>
  <si>
    <t>GLSCLNR-5LTR</t>
  </si>
  <si>
    <t>089310004</t>
  </si>
  <si>
    <t>POL-(LIQUID-WAX)-BEIGE-100ML</t>
  </si>
  <si>
    <t>NDI0000187</t>
  </si>
  <si>
    <t>FOAM PAD BLACK</t>
  </si>
  <si>
    <t>0893469105</t>
  </si>
  <si>
    <t>POL-(EXTREME CUT)-AP05-1LTR</t>
  </si>
  <si>
    <t>5997638386</t>
  </si>
  <si>
    <t>3 PLY MASK – MELTBLOWN FILTER ELST</t>
  </si>
  <si>
    <t>Product</t>
  </si>
  <si>
    <t>Description</t>
  </si>
  <si>
    <t>SAP ITEM NAME</t>
  </si>
  <si>
    <t>Customer Name</t>
  </si>
  <si>
    <t>Customer Code</t>
  </si>
  <si>
    <t xml:space="preserve">Order Number </t>
  </si>
  <si>
    <t>Delivery Address (If any)</t>
  </si>
  <si>
    <t>ADM Name:</t>
  </si>
  <si>
    <t>Rep Code:</t>
  </si>
  <si>
    <t>Article Number</t>
  </si>
  <si>
    <t>Sl.No:</t>
  </si>
  <si>
    <t>Price</t>
  </si>
  <si>
    <t>PRS</t>
  </si>
  <si>
    <t>Desc</t>
  </si>
  <si>
    <t>Total Value</t>
  </si>
  <si>
    <t>Sunfilm - VLT75PERCNT-2PLY-100FT</t>
  </si>
  <si>
    <t>Windscreen cleaner-ACTIVE-500ML</t>
  </si>
  <si>
    <t>Micro-fibre cloth</t>
  </si>
  <si>
    <t>Plastic-care, vehicle</t>
  </si>
  <si>
    <t>Cleaner for vehicle interior-ACTIVE-500ML</t>
  </si>
  <si>
    <t>Insect and animal repellent</t>
  </si>
  <si>
    <t>Underbody seal-SPRAYABLE-BLACK-1000ML</t>
  </si>
  <si>
    <t>Multipurpose Vinyl Care - 1Ltr</t>
  </si>
  <si>
    <t>Polishing machine, electric-1200W</t>
  </si>
  <si>
    <t>Sunfilm - VLT50PERCNT-2PLY-100FT</t>
  </si>
  <si>
    <t>Cavitywax protection-BEIGE-500ML</t>
  </si>
  <si>
    <t>Battery terminal maintenance</t>
  </si>
  <si>
    <t>PAINTRESTORATION-1LTR</t>
  </si>
  <si>
    <t>Zinc spray-400ML</t>
  </si>
  <si>
    <t>Stone impact protection-BLACK-1000ML</t>
  </si>
  <si>
    <t>Tyre gloss-MILKYWHITE-5LTR</t>
  </si>
  <si>
    <t>DIAMOND-CUT-PREMIUM-1LTR</t>
  </si>
  <si>
    <t>Engine lacquer</t>
  </si>
  <si>
    <t>Polishing compound</t>
  </si>
  <si>
    <t>Lacquer work sealing-GLOSS-250ML</t>
  </si>
  <si>
    <t>INTENSIVE-SPRAYBOTTLE-1LTR</t>
  </si>
  <si>
    <t>Pump spray bottle</t>
  </si>
  <si>
    <t>Auto Shampoo - 1 Ltr</t>
  </si>
  <si>
    <t>Auto Shampoo - 5 Ltrs</t>
  </si>
  <si>
    <t>Engine cleaner-ENGINEWASH-5LTR</t>
  </si>
  <si>
    <t>Sound-ALU-GREY-550X250X2-6PCS</t>
  </si>
  <si>
    <t>Tyre gloss-MILKYWHITE-30LTR</t>
  </si>
  <si>
    <t>HIGHGLOSS PLUS)-P20-1KG</t>
  </si>
  <si>
    <t>ANTIHOLOGRAMM PLUS)-P30-1KG</t>
  </si>
  <si>
    <t>FASTCUT PLUS)-P10-1KG</t>
  </si>
  <si>
    <t>Polishing pad-GREEN-(EXTRA-HARD)-D170X25MM</t>
  </si>
  <si>
    <t>Polishing pad-BLUE-HARD-D170X30MM</t>
  </si>
  <si>
    <t>Polishing pad-ORANGE-SOFT-D170X30MM</t>
  </si>
  <si>
    <t>Cleaner for vehicle interior-BEIGE-5LTR</t>
  </si>
  <si>
    <t>Multipurpose Vinyl Care - 5Ltrs</t>
  </si>
  <si>
    <t>EVAPORATOR-PURIFY-250ML</t>
  </si>
  <si>
    <t>Surface cleaner-A/C-CAR-300ML</t>
  </si>
  <si>
    <t>Sanding pad-GREY-G1500</t>
  </si>
  <si>
    <t>Sandpaper sheet wet-P2000-230X280</t>
  </si>
  <si>
    <t>Interior Cleaner - 1Ltr</t>
  </si>
  <si>
    <t>Spray gun, underbody seal-BOTTLE-1LTR</t>
  </si>
  <si>
    <t>Protective glove, knitted</t>
  </si>
  <si>
    <t>INDUSTRY-CLEANER-AEROCAN-500ML</t>
  </si>
  <si>
    <t>Metal polish</t>
  </si>
  <si>
    <t>Rim cleaner</t>
  </si>
  <si>
    <t>Cleaning sponge</t>
  </si>
  <si>
    <t>Polishing pad</t>
  </si>
  <si>
    <t>Polishing pad-GREEN-(EXTRA-HARD)-D145X25MM</t>
  </si>
  <si>
    <t>Polishing pad-ORANGE-SOFT-D145X25MM</t>
  </si>
  <si>
    <t>Polishing pad-BLUE-HARD-D145X25MM</t>
  </si>
  <si>
    <t>Polish-(ANTIHOLOGRAMM PLUS)-P30-250G</t>
  </si>
  <si>
    <t>Sandpaper-WABRPAP-(SILIC-CA)-WTRPROF-P1500-230X280</t>
  </si>
  <si>
    <t>Remover of tar</t>
  </si>
  <si>
    <t>Protective glove, disposable</t>
  </si>
  <si>
    <t>Wet and dry vac cleaner, elec, access.</t>
  </si>
  <si>
    <t>Adhesive lubricant-ADHLUB-500ML</t>
  </si>
  <si>
    <t>Masking crepe tape-MASKTPE-CREPE-24MMX30M</t>
  </si>
  <si>
    <t>Masking crepe tape-MASKTPE-CREPE-WHITE/BROWN-24MMX50M</t>
  </si>
  <si>
    <t>Tyre care foam-500ML</t>
  </si>
  <si>
    <t>Zinc spray-PERFECT-400ML</t>
  </si>
  <si>
    <t>System cleaner, vehicle, accessories</t>
  </si>
  <si>
    <t>Windscreen cleaner-32ML</t>
  </si>
  <si>
    <t>Spray device-1000ML</t>
  </si>
  <si>
    <t>Cleaner for glass-5LTR</t>
  </si>
  <si>
    <t>Polish-POL-(LIQUID-WAX)-BEIGE-100ML</t>
  </si>
  <si>
    <t>Polish-(EXTREME CUT)-AP05-1LTR</t>
  </si>
  <si>
    <t>Week 1</t>
  </si>
  <si>
    <t>Week 2</t>
  </si>
  <si>
    <t>Week 3</t>
  </si>
  <si>
    <t>Week 4</t>
  </si>
  <si>
    <t>Week 5</t>
  </si>
  <si>
    <t>Additional</t>
  </si>
  <si>
    <t>Total Value of the Month</t>
  </si>
  <si>
    <t xml:space="preserve">Note: </t>
  </si>
  <si>
    <t>Copy the Amount, Right Click and selete value(123)</t>
  </si>
  <si>
    <t>0585027090961    4</t>
  </si>
  <si>
    <t>0890108700045   24</t>
  </si>
  <si>
    <t>089012 500045    1</t>
  </si>
  <si>
    <t>0891503360961    1</t>
  </si>
  <si>
    <t>0891703128961    1</t>
  </si>
  <si>
    <t>0893012011045    6</t>
  </si>
  <si>
    <t>0893012017045    6</t>
  </si>
  <si>
    <t>0893012027045    6</t>
  </si>
  <si>
    <t>0893016050045   25</t>
  </si>
  <si>
    <t>0893101150045   50</t>
  </si>
  <si>
    <t>0893105525045    1</t>
  </si>
  <si>
    <t>0893106505045    1</t>
  </si>
  <si>
    <t>0893151102045   20</t>
  </si>
  <si>
    <t>0893152002045   50</t>
  </si>
  <si>
    <t>08932801  045    1</t>
  </si>
  <si>
    <t>0899700001061    5</t>
  </si>
  <si>
    <t>57075000  961    1</t>
  </si>
  <si>
    <t>5861101350045   24</t>
  </si>
  <si>
    <t>5861300305045   24</t>
  </si>
  <si>
    <t>5997646524090    1</t>
  </si>
  <si>
    <t>5997655754090    1</t>
  </si>
  <si>
    <t>5997713414090    1</t>
  </si>
  <si>
    <t>NDI0000197990    1</t>
  </si>
  <si>
    <t>NDI0000327990    1</t>
  </si>
  <si>
    <t>POLPAD-BLUE-HARD-D90X25MM</t>
  </si>
  <si>
    <t>BRKCLNR-700ML</t>
  </si>
  <si>
    <t>TREGLO-MILKYWHITE-500ML</t>
  </si>
  <si>
    <t>PMPSPRBTL-EMPTY-360DGR-1000ML</t>
  </si>
  <si>
    <t>CLNAPP-FOAM-GUN-SP1</t>
  </si>
  <si>
    <t>PAINT SPRAY-9011-MATTE BLACK-400ML</t>
  </si>
  <si>
    <t>PAINT SPRAY-9017-BRIGHT BLACK-400ML</t>
  </si>
  <si>
    <t>PAINT SPRAY-HIGHTEMP-MATTE BLACK -300ML</t>
  </si>
  <si>
    <t>ADD-ENGCLNR-50ML</t>
  </si>
  <si>
    <t>CARBUCLNR-100ML</t>
  </si>
  <si>
    <t>CARBUCLNR-500ML</t>
  </si>
  <si>
    <t>CHNSPR-POLYMERADD-SPRAY-500ML</t>
  </si>
  <si>
    <t>POL-PAINTRESTORATION-100ML</t>
  </si>
  <si>
    <t>POL-NEWPAINT-100ML</t>
  </si>
  <si>
    <t>PLADYER-PLASTIC-BLACK-75ML</t>
  </si>
  <si>
    <t>DSTCLTH-80X50CM</t>
  </si>
  <si>
    <t>ORBPOLSHR-EL-EPM160-E</t>
  </si>
  <si>
    <t>ADD-PETR-ADD-TREATMENT-PETROL-50ML</t>
  </si>
  <si>
    <t>TRTMNT-ENGOIL-ADDITIVE-50ML</t>
  </si>
  <si>
    <t>BIKE CHAIN CLEANING BRUSH</t>
  </si>
  <si>
    <t>RUBBING &amp; FINISING COMPOUND 100GRM</t>
  </si>
  <si>
    <t>HELMET CLEANER</t>
  </si>
  <si>
    <t>RUBBING PAD DOUB.SIDE</t>
  </si>
  <si>
    <t>PREMIUM SEAT COVER SET</t>
  </si>
  <si>
    <t>Polishing pad-BLUE-HARD-D90X25MM</t>
  </si>
  <si>
    <t>Break Cleaner - 700ml</t>
  </si>
  <si>
    <t>Tyre gloss-MILKYWHITE--500ML</t>
  </si>
  <si>
    <t>Pump spray bottle-1LTR</t>
  </si>
  <si>
    <t>Engine cleaner additive-50ML</t>
  </si>
  <si>
    <t>Carburettor and throttle valve cleaner-100ML</t>
  </si>
  <si>
    <t>Carburettor and throttle valve cleaner-500ML</t>
  </si>
  <si>
    <t>PAINTRESTORATION--100ML</t>
  </si>
  <si>
    <t>NEWPAINTPOLISH-1LTR</t>
  </si>
  <si>
    <t>NEWPAINTPOLISH100ML</t>
  </si>
  <si>
    <t>Dust cloth-80X50CM</t>
  </si>
  <si>
    <t>Dust cloth-32X100CM</t>
  </si>
  <si>
    <t>Polishing machine, electric</t>
  </si>
  <si>
    <t>Petrol additive-50ML</t>
  </si>
  <si>
    <t>Engine oil additive-50ML</t>
  </si>
  <si>
    <t>Remarks</t>
  </si>
  <si>
    <t>KVR DREAM VEHICLE PVT. LTD.</t>
  </si>
  <si>
    <t xml:space="preserve"> HYSON MOTORS</t>
  </si>
  <si>
    <t>PHOENIX CAR INDIA PVT. LTD</t>
  </si>
  <si>
    <r>
      <t xml:space="preserve">KVR DREAM VEHICLE PVT. LTD PANALAM NAIMARMOOLA POST CHENGALA </t>
    </r>
    <r>
      <rPr>
        <b/>
        <sz val="14"/>
        <color rgb="FF000000"/>
        <rFont val="Calibri"/>
        <family val="2"/>
        <scheme val="minor"/>
      </rPr>
      <t>,KASARAGOD  671123</t>
    </r>
  </si>
  <si>
    <t>KVR DREAM VEHICLE PVT. LTD KANDOTH ,OPP BHARATH PETROLPUMP PAYYANNUR 670307 KANNUR - DTS</t>
  </si>
  <si>
    <t>HYSON MOTORS, PUZHAKKAL PADAM, GURUVAYUR ROAD, THRISSUR - 680002</t>
  </si>
  <si>
    <t>HYSON MOTORS PVT LTD - GURUVAYOOR OPP:CHOOLPURAM MUSJID, KOTTAPADY.P.O 680505 GURUVAYOOR-THRISSUR Kerala</t>
  </si>
  <si>
    <t>HYSON MOTORS PVT LTD.  PANAMPALLY COLLEGE, POTTA, CHALAKKUDY -680307</t>
  </si>
  <si>
    <t>HYSON MOTORS- KODUNGALLUR       T K S PURAM OPP.MEDICARE HOSPITAL 680664 KODUNGALLUR-THRISSUR Kerala State Code- 32</t>
  </si>
  <si>
    <t xml:space="preserve">PHOENIX CAR INDIA PVT. LTD. - PKD       Near Asianet Office, Matha Kovil Street, Sulthanpet, Palakkad </t>
  </si>
  <si>
    <t>HYSON AUTO SALES PVT LTD - THRISSUR FIAT NH 47, BYPASS 680014 THRISSUR-THRISSUR Kerala</t>
  </si>
  <si>
    <t>CARZONE</t>
  </si>
  <si>
    <t>71/1739B,ATHANIKKAL,KANNUR ROAD,KOZHIKODE,KERALA,673005</t>
  </si>
  <si>
    <t>PHOENIX CAR INDIA PVT. LTD. - TCR 12/493/1, N.H 47 MANNUTHY BYE PASS 687051 TRISSUR-TRISSUR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</si>
</sst>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8">
    <font>
      <sz val="10"/>
      <name val="Arial"/>
    </font>
    <font>
      <b/>
      <sz val="9"/>
      <name val="Wuerth Book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Wuerth Book"/>
      <family val="2"/>
    </font>
    <font>
      <sz val="12"/>
      <name val="Wuerth Book"/>
      <family val="2"/>
    </font>
    <font>
      <b/>
      <sz val="9"/>
      <name val="Wuerth Book"/>
      <family val="2"/>
    </font>
    <font>
      <sz val="9"/>
      <name val="Wuerth Book"/>
      <family val="2"/>
    </font>
    <font>
      <b/>
      <sz val="16"/>
      <name val="Wuerth Book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3" fontId="10" fillId="0" borderId="0" applyFont="0" applyFill="0" applyBorder="0" applyAlignment="0" applyProtection="0"/>
  </cellStyleXfs>
  <cellXfs count="107">
    <xf numFmtId="0" fontId="0" fillId="0" borderId="0" xfId="0" applyAlignment="1">
      <alignment vertical="top"/>
    </xf>
    <xf numFmtId="0" fontId="9" fillId="0" borderId="0" xfId="0" applyFont="1" applyAlignment="1">
      <alignment vertical="top"/>
    </xf>
    <xf numFmtId="0" fontId="4" fillId="2" borderId="19" xfId="0" applyFont="1" applyFill="1" applyBorder="1" applyAlignment="1">
      <alignment horizontal="center" vertical="center"/>
    </xf>
    <xf numFmtId="0" fontId="4" fillId="2" borderId="8" xfId="0" applyFont="1" applyFill="1" applyBorder="1" applyProtection="1">
      <protection locked="0"/>
    </xf>
    <xf numFmtId="0" fontId="4" fillId="2" borderId="2" xfId="0" applyFont="1" applyFill="1" applyBorder="1" applyProtection="1">
      <protection locked="0"/>
    </xf>
    <xf numFmtId="0" fontId="4" fillId="2" borderId="17" xfId="0" applyFont="1" applyFill="1" applyBorder="1" applyProtection="1">
      <protection locked="0"/>
    </xf>
    <xf numFmtId="0" fontId="3" fillId="2" borderId="5" xfId="1" applyFont="1" applyFill="1" applyBorder="1" applyAlignment="1" applyProtection="1">
      <alignment horizontal="center" vertical="center" wrapText="1"/>
      <protection locked="0"/>
    </xf>
    <xf numFmtId="0" fontId="3" fillId="2" borderId="15" xfId="1" applyFont="1" applyFill="1" applyBorder="1" applyAlignment="1" applyProtection="1">
      <alignment horizontal="center" vertical="center" wrapText="1"/>
      <protection locked="0"/>
    </xf>
    <xf numFmtId="0" fontId="6" fillId="2" borderId="6" xfId="0" applyFont="1" applyFill="1" applyBorder="1" applyAlignment="1" applyProtection="1">
      <alignment horizontal="center" wrapText="1"/>
      <protection locked="0"/>
    </xf>
    <xf numFmtId="0" fontId="3" fillId="3" borderId="2" xfId="1" applyFont="1" applyFill="1" applyBorder="1" applyAlignment="1" applyProtection="1">
      <alignment horizontal="center"/>
      <protection locked="0"/>
    </xf>
    <xf numFmtId="0" fontId="4" fillId="2" borderId="9" xfId="0" applyFont="1" applyFill="1" applyBorder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0" fontId="1" fillId="2" borderId="6" xfId="0" applyFont="1" applyFill="1" applyBorder="1" applyAlignment="1" applyProtection="1">
      <alignment horizontal="center"/>
      <protection locked="0"/>
    </xf>
    <xf numFmtId="0" fontId="1" fillId="2" borderId="9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5" fillId="2" borderId="0" xfId="0" applyFont="1" applyFill="1" applyAlignment="1" applyProtection="1">
      <alignment horizontal="center" vertical="center" wrapText="1"/>
      <protection locked="0"/>
    </xf>
    <xf numFmtId="0" fontId="4" fillId="2" borderId="0" xfId="0" applyFont="1" applyFill="1" applyProtection="1">
      <protection locked="0"/>
    </xf>
    <xf numFmtId="0" fontId="6" fillId="2" borderId="3" xfId="0" applyFont="1" applyFill="1" applyBorder="1" applyAlignment="1" applyProtection="1">
      <alignment horizontal="right" vertical="center"/>
      <protection locked="0"/>
    </xf>
    <xf numFmtId="0" fontId="6" fillId="2" borderId="4" xfId="0" applyFont="1" applyFill="1" applyBorder="1" applyProtection="1">
      <protection locked="0"/>
    </xf>
    <xf numFmtId="0" fontId="1" fillId="2" borderId="0" xfId="0" applyFont="1" applyFill="1" applyProtection="1">
      <protection locked="0"/>
    </xf>
    <xf numFmtId="0" fontId="6" fillId="2" borderId="16" xfId="0" applyFont="1" applyFill="1" applyBorder="1" applyAlignment="1" applyProtection="1">
      <alignment horizontal="right" vertical="center"/>
      <protection locked="0"/>
    </xf>
    <xf numFmtId="0" fontId="1" fillId="2" borderId="14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6" fillId="2" borderId="3" xfId="0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/>
      <protection locked="0"/>
    </xf>
    <xf numFmtId="0" fontId="4" fillId="3" borderId="3" xfId="0" quotePrefix="1" applyFont="1" applyFill="1" applyBorder="1" applyAlignment="1" applyProtection="1">
      <alignment horizontal="left"/>
      <protection locked="0"/>
    </xf>
    <xf numFmtId="0" fontId="4" fillId="3" borderId="4" xfId="0" applyFont="1" applyFill="1" applyBorder="1" applyAlignment="1" applyProtection="1">
      <alignment horizontal="left" vertical="center"/>
      <protection locked="0"/>
    </xf>
    <xf numFmtId="0" fontId="7" fillId="2" borderId="10" xfId="0" applyFont="1" applyFill="1" applyBorder="1" applyAlignment="1" applyProtection="1">
      <alignment horizontal="center" vertical="center"/>
      <protection locked="0"/>
    </xf>
    <xf numFmtId="0" fontId="7" fillId="2" borderId="11" xfId="0" applyFont="1" applyFill="1" applyBorder="1" applyAlignment="1" applyProtection="1">
      <alignment horizontal="center" vertical="center"/>
      <protection locked="0"/>
    </xf>
    <xf numFmtId="0" fontId="8" fillId="4" borderId="3" xfId="0" applyFont="1" applyFill="1" applyBorder="1" applyAlignment="1" applyProtection="1">
      <alignment horizontal="right"/>
      <protection locked="0"/>
    </xf>
    <xf numFmtId="0" fontId="6" fillId="2" borderId="16" xfId="0" applyFont="1" applyFill="1" applyBorder="1" applyAlignment="1" applyProtection="1">
      <alignment horizontal="center" vertical="center"/>
      <protection locked="0"/>
    </xf>
    <xf numFmtId="0" fontId="4" fillId="3" borderId="18" xfId="0" applyFont="1" applyFill="1" applyBorder="1" applyAlignment="1" applyProtection="1">
      <alignment horizontal="left" vertical="center"/>
      <protection locked="0"/>
    </xf>
    <xf numFmtId="0" fontId="6" fillId="2" borderId="14" xfId="0" applyFont="1" applyFill="1" applyBorder="1" applyProtection="1">
      <protection locked="0"/>
    </xf>
    <xf numFmtId="0" fontId="8" fillId="4" borderId="16" xfId="0" applyFont="1" applyFill="1" applyBorder="1" applyAlignment="1" applyProtection="1">
      <alignment horizontal="right"/>
      <protection locked="0"/>
    </xf>
    <xf numFmtId="0" fontId="8" fillId="2" borderId="3" xfId="0" applyFont="1" applyFill="1" applyBorder="1" applyAlignment="1" applyProtection="1">
      <alignment horizontal="right"/>
      <protection locked="0"/>
    </xf>
    <xf numFmtId="0" fontId="8" fillId="2" borderId="16" xfId="0" applyFont="1" applyFill="1" applyBorder="1" applyAlignment="1" applyProtection="1">
      <alignment horizontal="right"/>
      <protection locked="0"/>
    </xf>
    <xf numFmtId="164" fontId="1" fillId="2" borderId="7" xfId="2" applyNumberFormat="1" applyFont="1" applyFill="1" applyBorder="1" applyAlignment="1" applyProtection="1">
      <alignment horizont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9" fillId="5" borderId="1" xfId="0" applyFont="1" applyFill="1" applyBorder="1" applyAlignment="1">
      <alignment horizontal="center" vertical="top"/>
    </xf>
    <xf numFmtId="164" fontId="0" fillId="0" borderId="1" xfId="0" applyNumberFormat="1" applyBorder="1" applyAlignment="1">
      <alignment vertical="top"/>
    </xf>
    <xf numFmtId="164" fontId="0" fillId="0" borderId="22" xfId="0" applyNumberFormat="1" applyBorder="1" applyAlignment="1">
      <alignment vertical="top"/>
    </xf>
    <xf numFmtId="0" fontId="0" fillId="0" borderId="25" xfId="0" applyBorder="1" applyAlignment="1">
      <alignment vertical="top"/>
    </xf>
    <xf numFmtId="0" fontId="3" fillId="2" borderId="2" xfId="1" applyFont="1" applyFill="1" applyBorder="1" applyAlignment="1" applyProtection="1">
      <alignment horizontal="center" vertical="center" wrapText="1"/>
      <protection locked="0"/>
    </xf>
    <xf numFmtId="0" fontId="3" fillId="2" borderId="17" xfId="1" applyFont="1" applyFill="1" applyBorder="1" applyAlignment="1" applyProtection="1">
      <alignment horizontal="center" vertical="center" wrapText="1"/>
      <protection locked="0"/>
    </xf>
    <xf numFmtId="0" fontId="0" fillId="0" borderId="24" xfId="0" applyBorder="1" applyAlignment="1">
      <alignment vertical="top"/>
    </xf>
    <xf numFmtId="0" fontId="3" fillId="3" borderId="5" xfId="1" applyFont="1" applyFill="1" applyBorder="1" applyAlignment="1" applyProtection="1">
      <alignment horizontal="center"/>
      <protection locked="0"/>
    </xf>
    <xf numFmtId="0" fontId="3" fillId="3" borderId="15" xfId="1" applyFont="1" applyFill="1" applyBorder="1" applyAlignment="1" applyProtection="1">
      <alignment horizontal="center"/>
      <protection locked="0"/>
    </xf>
    <xf numFmtId="0" fontId="0" fillId="0" borderId="23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20" xfId="0" applyBorder="1" applyAlignment="1">
      <alignment vertical="top"/>
    </xf>
    <xf numFmtId="0" fontId="0" fillId="0" borderId="1" xfId="0" applyBorder="1" applyAlignment="1">
      <alignment vertical="top"/>
    </xf>
    <xf numFmtId="0" fontId="11" fillId="6" borderId="21" xfId="0" applyFont="1" applyFill="1" applyBorder="1" applyAlignment="1">
      <alignment vertical="top" wrapText="1"/>
    </xf>
    <xf numFmtId="0" fontId="9" fillId="6" borderId="1" xfId="0" applyFont="1" applyFill="1" applyBorder="1" applyAlignment="1">
      <alignment horizontal="center" vertical="top"/>
    </xf>
    <xf numFmtId="0" fontId="9" fillId="5" borderId="1" xfId="0" applyFont="1" applyFill="1" applyBorder="1" applyAlignment="1">
      <alignment horizontal="right" vertical="top"/>
    </xf>
    <xf numFmtId="0" fontId="2" fillId="0" borderId="0" xfId="0" applyFont="1" applyAlignment="1">
      <alignment horizontal="right" vertical="top"/>
    </xf>
    <xf numFmtId="0" fontId="2" fillId="0" borderId="1" xfId="0" applyFont="1" applyBorder="1" applyAlignment="1">
      <alignment vertical="top"/>
    </xf>
    <xf numFmtId="0" fontId="1" fillId="7" borderId="3" xfId="0" applyFont="1" applyFill="1" applyBorder="1" applyAlignment="1" applyProtection="1">
      <alignment horizontal="center" vertical="center"/>
      <protection locked="0"/>
    </xf>
    <xf numFmtId="0" fontId="0" fillId="0" borderId="1" xfId="0" quotePrefix="1" applyBorder="1" applyAlignment="1">
      <alignment vertical="top"/>
    </xf>
    <xf numFmtId="164" fontId="2" fillId="0" borderId="1" xfId="2" applyNumberFormat="1" applyFont="1" applyBorder="1" applyAlignment="1">
      <alignment horizontal="right" vertical="top"/>
    </xf>
    <xf numFmtId="0" fontId="0" fillId="0" borderId="26" xfId="0" applyBorder="1" applyAlignment="1">
      <alignment vertical="top"/>
    </xf>
    <xf numFmtId="0" fontId="0" fillId="0" borderId="27" xfId="0" applyBorder="1" applyAlignment="1">
      <alignment vertical="top"/>
    </xf>
    <xf numFmtId="0" fontId="3" fillId="3" borderId="28" xfId="1" applyFont="1" applyFill="1" applyBorder="1" applyAlignment="1" applyProtection="1">
      <alignment horizontal="center"/>
      <protection locked="0"/>
    </xf>
    <xf numFmtId="164" fontId="1" fillId="2" borderId="1" xfId="2" applyNumberFormat="1" applyFont="1" applyFill="1" applyBorder="1" applyAlignment="1" applyProtection="1">
      <alignment horizont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0" fontId="1" fillId="2" borderId="29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left" vertical="center"/>
      <protection locked="0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1" fillId="2" borderId="30" xfId="0" applyFont="1" applyFill="1" applyBorder="1" applyAlignment="1" applyProtection="1">
      <alignment horizontal="center" vertical="center"/>
      <protection locked="0"/>
    </xf>
    <xf numFmtId="0" fontId="4" fillId="3" borderId="30" xfId="0" applyFont="1" applyFill="1" applyBorder="1" applyAlignment="1" applyProtection="1">
      <alignment horizontal="left" vertical="center"/>
      <protection locked="0"/>
    </xf>
    <xf numFmtId="0" fontId="8" fillId="2" borderId="31" xfId="0" applyFont="1" applyFill="1" applyBorder="1" applyAlignment="1" applyProtection="1">
      <alignment horizontal="right"/>
      <protection locked="0"/>
    </xf>
    <xf numFmtId="0" fontId="6" fillId="2" borderId="13" xfId="0" applyFont="1" applyFill="1" applyBorder="1" applyAlignment="1" applyProtection="1">
      <alignment horizontal="center" vertical="center"/>
      <protection locked="0"/>
    </xf>
    <xf numFmtId="0" fontId="8" fillId="2" borderId="4" xfId="0" applyFont="1" applyFill="1" applyBorder="1" applyAlignment="1" applyProtection="1">
      <alignment horizontal="right"/>
      <protection locked="0"/>
    </xf>
    <xf numFmtId="0" fontId="3" fillId="8" borderId="7" xfId="1" applyFont="1" applyFill="1" applyBorder="1" applyAlignment="1" applyProtection="1">
      <alignment horizontal="center" vertical="center" wrapText="1"/>
      <protection locked="0"/>
    </xf>
    <xf numFmtId="0" fontId="12" fillId="8" borderId="5" xfId="1" applyFont="1" applyFill="1" applyBorder="1" applyAlignment="1" applyProtection="1">
      <alignment horizontal="center" vertical="center" wrapText="1"/>
      <protection locked="0"/>
    </xf>
    <xf numFmtId="0" fontId="3" fillId="8" borderId="5" xfId="1" applyFont="1" applyFill="1" applyBorder="1" applyAlignment="1" applyProtection="1">
      <alignment horizontal="center" vertical="center" wrapText="1"/>
      <protection locked="0"/>
    </xf>
    <xf numFmtId="0" fontId="13" fillId="8" borderId="32" xfId="0" applyFont="1" applyFill="1" applyBorder="1" applyAlignment="1">
      <alignment horizontal="center" vertical="center" wrapText="1"/>
    </xf>
    <xf numFmtId="0" fontId="15" fillId="8" borderId="32" xfId="0" applyFont="1" applyFill="1" applyBorder="1" applyAlignment="1">
      <alignment horizontal="center" vertical="center" wrapText="1"/>
    </xf>
    <xf numFmtId="0" fontId="16" fillId="8" borderId="32" xfId="0" applyFont="1" applyFill="1" applyBorder="1" applyAlignment="1">
      <alignment horizontal="center" vertical="center" wrapText="1"/>
    </xf>
    <xf numFmtId="0" fontId="14" fillId="8" borderId="32" xfId="0" applyFont="1" applyFill="1" applyBorder="1" applyAlignment="1">
      <alignment horizontal="center" vertical="center" wrapText="1"/>
    </xf>
    <xf numFmtId="0" fontId="14" fillId="8" borderId="33" xfId="0" applyFont="1" applyFill="1" applyBorder="1" applyAlignment="1">
      <alignment horizontal="center" vertical="center" wrapText="1"/>
    </xf>
    <xf numFmtId="0" fontId="15" fillId="9" borderId="32" xfId="0" applyFont="1" applyFill="1" applyBorder="1" applyAlignment="1">
      <alignment horizontal="center" vertical="center" wrapText="1"/>
    </xf>
    <xf numFmtId="0" fontId="14" fillId="9" borderId="32" xfId="0" applyFont="1" applyFill="1" applyBorder="1" applyAlignment="1">
      <alignment horizontal="center" vertical="center" wrapText="1"/>
    </xf>
    <xf numFmtId="0" fontId="14" fillId="9" borderId="34" xfId="0" applyFont="1" applyFill="1" applyBorder="1" applyAlignment="1">
      <alignment horizontal="center" vertical="center" wrapText="1"/>
    </xf>
    <xf numFmtId="0" fontId="16" fillId="9" borderId="32" xfId="0" applyFont="1" applyFill="1" applyBorder="1" applyAlignment="1">
      <alignment horizontal="center" vertical="center" wrapText="1"/>
    </xf>
    <xf numFmtId="0" fontId="12" fillId="8" borderId="0" xfId="0" applyFont="1" applyFill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4" fillId="9" borderId="35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4" fillId="6" borderId="13" xfId="0" applyFont="1" applyFill="1" applyBorder="1" applyAlignment="1" applyProtection="1">
      <alignment horizontal="left" vertical="center"/>
      <protection locked="0"/>
    </xf>
    <xf numFmtId="0" fontId="0" fillId="6" borderId="1" xfId="0" applyFill="1" applyBorder="1" applyAlignment="1">
      <alignment vertical="top"/>
    </xf>
    <xf numFmtId="0" fontId="4" fillId="10" borderId="13" xfId="0" applyFont="1" applyFill="1" applyBorder="1" applyAlignment="1" applyProtection="1">
      <alignment horizontal="left" vertical="center"/>
      <protection locked="0"/>
    </xf>
    <xf numFmtId="0" fontId="4" fillId="7" borderId="13" xfId="0" applyFont="1" applyFill="1" applyBorder="1" applyAlignment="1" applyProtection="1">
      <alignment horizontal="left" vertical="center"/>
      <protection locked="0"/>
    </xf>
    <xf numFmtId="0" fontId="4" fillId="11" borderId="13" xfId="0" applyFont="1" applyFill="1" applyBorder="1" applyAlignment="1" applyProtection="1">
      <alignment horizontal="left" vertical="center"/>
      <protection locked="0"/>
    </xf>
    <xf numFmtId="0" fontId="4" fillId="5" borderId="13" xfId="0" applyFont="1" applyFill="1" applyBorder="1" applyAlignment="1" applyProtection="1">
      <alignment horizontal="left" vertical="center"/>
      <protection locked="0"/>
    </xf>
    <xf numFmtId="0" fontId="4" fillId="12" borderId="13" xfId="0" applyFont="1" applyFill="1" applyBorder="1" applyAlignment="1" applyProtection="1">
      <alignment horizontal="left" vertical="center"/>
      <protection locked="0"/>
    </xf>
    <xf numFmtId="0" fontId="4" fillId="13" borderId="13" xfId="0" applyFont="1" applyFill="1" applyBorder="1" applyAlignment="1" applyProtection="1">
      <alignment horizontal="left" vertical="center"/>
      <protection locked="0"/>
    </xf>
    <xf numFmtId="0" fontId="4" fillId="14" borderId="13" xfId="0" applyFont="1" applyFill="1" applyBorder="1" applyAlignment="1" applyProtection="1">
      <alignment horizontal="left" vertical="center"/>
      <protection locked="0"/>
    </xf>
    <xf numFmtId="0" fontId="4" fillId="4" borderId="13" xfId="0" applyFont="1" applyFill="1" applyBorder="1" applyAlignment="1" applyProtection="1">
      <alignment horizontal="left" vertical="center"/>
      <protection locked="0"/>
    </xf>
    <xf numFmtId="0" fontId="0" fillId="15" borderId="1" xfId="0" applyFill="1" applyBorder="1" applyAlignment="1">
      <alignment vertical="top"/>
    </xf>
  </cellXfs>
  <cellStyles count="3">
    <cellStyle name="Comma" xfId="2" builtinId="3"/>
    <cellStyle name="Normal" xfId="0" builtinId="0"/>
    <cellStyle name="Normal_Sheet2" xfId="1" xr:uid="{6F4532F6-F770-425A-B4F6-DCDC2E4905A7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8</xdr:col>
      <xdr:colOff>429195</xdr:colOff>
      <xdr:row>10</xdr:row>
      <xdr:rowOff>38446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38816B-455B-4758-BAF0-A8462C696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61925"/>
          <a:ext cx="4086795" cy="14957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3C549-05B2-44EC-8898-55CC9E6461F7}">
  <sheetPr>
    <tabColor theme="7" tint="0.59999389629810485"/>
  </sheetPr>
  <dimension ref="A1:D1490"/>
  <sheetViews>
    <sheetView workbookViewId="0">
      <pane ySplit="1" topLeftCell="A98" activePane="bottomLeft" state="frozen"/>
      <selection pane="bottomLeft" activeCell="B62" sqref="B62"/>
    </sheetView>
  </sheetViews>
  <sheetFormatPr defaultRowHeight="13.2"/>
  <cols>
    <col min="1" max="1" width="39.44140625" customWidth="1"/>
    <col min="2" max="2" width="42" bestFit="1" customWidth="1"/>
    <col min="3" max="3" width="18" bestFit="1" customWidth="1"/>
    <col min="4" max="4" width="10.33203125" style="54" bestFit="1" customWidth="1"/>
  </cols>
  <sheetData>
    <row r="1" spans="1:4" s="1" customFormat="1" ht="13.8">
      <c r="A1" s="52" t="s">
        <v>217</v>
      </c>
      <c r="B1" s="38" t="s">
        <v>205</v>
      </c>
      <c r="C1" s="38" t="s">
        <v>204</v>
      </c>
      <c r="D1" s="53" t="s">
        <v>215</v>
      </c>
    </row>
    <row r="2" spans="1:4" ht="14.1" customHeight="1">
      <c r="A2" s="50" t="s">
        <v>270</v>
      </c>
      <c r="B2" s="50" t="s">
        <v>133</v>
      </c>
      <c r="C2" s="50" t="s">
        <v>132</v>
      </c>
      <c r="D2" s="58">
        <v>37</v>
      </c>
    </row>
    <row r="3" spans="1:4" ht="14.1" customHeight="1">
      <c r="A3" s="50" t="s">
        <v>257</v>
      </c>
      <c r="B3" s="50" t="s">
        <v>127</v>
      </c>
      <c r="C3" s="50" t="s">
        <v>126</v>
      </c>
      <c r="D3" s="58">
        <v>37</v>
      </c>
    </row>
    <row r="4" spans="1:4" ht="14.1" customHeight="1">
      <c r="A4" s="50" t="s">
        <v>266</v>
      </c>
      <c r="B4" s="50" t="s">
        <v>89</v>
      </c>
      <c r="C4" s="50" t="s">
        <v>88</v>
      </c>
      <c r="D4" s="58">
        <v>1013.25</v>
      </c>
    </row>
    <row r="5" spans="1:4" ht="14.1" customHeight="1">
      <c r="A5" s="50" t="s">
        <v>249</v>
      </c>
      <c r="B5" s="50" t="s">
        <v>113</v>
      </c>
      <c r="C5" s="50" t="s">
        <v>112</v>
      </c>
      <c r="D5" s="58">
        <v>2057.92</v>
      </c>
    </row>
    <row r="6" spans="1:4" ht="14.1" customHeight="1">
      <c r="A6" s="50" t="s">
        <v>267</v>
      </c>
      <c r="B6" s="50" t="s">
        <v>155</v>
      </c>
      <c r="C6" s="50" t="s">
        <v>154</v>
      </c>
      <c r="D6" s="58">
        <v>942.75</v>
      </c>
    </row>
    <row r="7" spans="1:4" ht="14.1" customHeight="1">
      <c r="A7" s="50" t="s">
        <v>251</v>
      </c>
      <c r="B7" s="50" t="s">
        <v>87</v>
      </c>
      <c r="C7" s="50" t="s">
        <v>86</v>
      </c>
      <c r="D7" s="58">
        <v>2053.33</v>
      </c>
    </row>
    <row r="8" spans="1:4" ht="14.1" customHeight="1">
      <c r="A8" s="55" t="s">
        <v>342</v>
      </c>
      <c r="B8" s="55" t="s">
        <v>318</v>
      </c>
      <c r="C8" s="50" t="s">
        <v>294</v>
      </c>
      <c r="D8" s="58">
        <v>437.25</v>
      </c>
    </row>
    <row r="9" spans="1:4" ht="14.1" customHeight="1">
      <c r="A9" s="50" t="s">
        <v>268</v>
      </c>
      <c r="B9" s="50" t="s">
        <v>91</v>
      </c>
      <c r="C9" s="50" t="s">
        <v>90</v>
      </c>
      <c r="D9" s="58">
        <v>930</v>
      </c>
    </row>
    <row r="10" spans="1:4" ht="14.1" customHeight="1">
      <c r="A10" s="50" t="s">
        <v>250</v>
      </c>
      <c r="B10" s="50" t="s">
        <v>115</v>
      </c>
      <c r="C10" s="50" t="s">
        <v>114</v>
      </c>
      <c r="D10" s="58">
        <v>2103.75</v>
      </c>
    </row>
    <row r="11" spans="1:4" ht="14.1" customHeight="1">
      <c r="A11" s="50" t="s">
        <v>265</v>
      </c>
      <c r="B11" s="50" t="s">
        <v>153</v>
      </c>
      <c r="C11" s="50" t="s">
        <v>152</v>
      </c>
      <c r="D11" s="58">
        <v>750</v>
      </c>
    </row>
    <row r="12" spans="1:4" ht="14.1" customHeight="1">
      <c r="A12" s="50" t="s">
        <v>256</v>
      </c>
      <c r="B12" s="50" t="s">
        <v>125</v>
      </c>
      <c r="C12" s="50" t="s">
        <v>124</v>
      </c>
      <c r="D12" s="58">
        <v>75</v>
      </c>
    </row>
    <row r="13" spans="1:4" ht="14.1" customHeight="1">
      <c r="A13" s="50" t="s">
        <v>173</v>
      </c>
      <c r="B13" s="50" t="s">
        <v>173</v>
      </c>
      <c r="C13" s="50" t="s">
        <v>172</v>
      </c>
      <c r="D13" s="58">
        <v>3291.2</v>
      </c>
    </row>
    <row r="14" spans="1:4" ht="14.1" customHeight="1">
      <c r="A14" s="50" t="s">
        <v>273</v>
      </c>
      <c r="B14" s="50" t="s">
        <v>169</v>
      </c>
      <c r="C14" s="50" t="s">
        <v>168</v>
      </c>
      <c r="D14" s="58">
        <v>755</v>
      </c>
    </row>
    <row r="15" spans="1:4" ht="14.1" customHeight="1">
      <c r="A15" s="50" t="s">
        <v>244</v>
      </c>
      <c r="B15" s="50" t="s">
        <v>109</v>
      </c>
      <c r="C15" s="50" t="s">
        <v>108</v>
      </c>
      <c r="D15" s="58">
        <v>2800</v>
      </c>
    </row>
    <row r="16" spans="1:4" ht="14.1" customHeight="1">
      <c r="A16" s="50" t="s">
        <v>263</v>
      </c>
      <c r="B16" s="50" t="s">
        <v>151</v>
      </c>
      <c r="C16" s="50" t="s">
        <v>150</v>
      </c>
      <c r="D16" s="58">
        <v>1000</v>
      </c>
    </row>
    <row r="17" spans="1:4" ht="14.1" customHeight="1">
      <c r="A17" s="50" t="s">
        <v>230</v>
      </c>
      <c r="B17" s="50" t="s">
        <v>63</v>
      </c>
      <c r="C17" s="50" t="s">
        <v>62</v>
      </c>
      <c r="D17" s="58">
        <v>355</v>
      </c>
    </row>
    <row r="18" spans="1:4" ht="14.1" customHeight="1">
      <c r="A18" s="55" t="s">
        <v>343</v>
      </c>
      <c r="B18" s="50" t="s">
        <v>319</v>
      </c>
      <c r="C18" s="57" t="s">
        <v>295</v>
      </c>
      <c r="D18" s="58">
        <v>375</v>
      </c>
    </row>
    <row r="19" spans="1:4" ht="14.1" customHeight="1">
      <c r="A19" s="50" t="s">
        <v>245</v>
      </c>
      <c r="B19" s="50" t="s">
        <v>111</v>
      </c>
      <c r="C19" s="50" t="s">
        <v>110</v>
      </c>
      <c r="D19" s="58">
        <v>10500</v>
      </c>
    </row>
    <row r="20" spans="1:4" ht="14.1" customHeight="1">
      <c r="A20" s="55" t="s">
        <v>344</v>
      </c>
      <c r="B20" s="55" t="s">
        <v>320</v>
      </c>
      <c r="C20" s="50" t="s">
        <v>296</v>
      </c>
      <c r="D20" s="58">
        <v>350</v>
      </c>
    </row>
    <row r="21" spans="1:4" ht="14.1" customHeight="1">
      <c r="A21" s="50" t="s">
        <v>234</v>
      </c>
      <c r="B21" s="50" t="s">
        <v>69</v>
      </c>
      <c r="C21" s="50" t="s">
        <v>68</v>
      </c>
      <c r="D21" s="58">
        <v>2150</v>
      </c>
    </row>
    <row r="22" spans="1:4" ht="14.1" customHeight="1">
      <c r="A22" s="50" t="s">
        <v>277</v>
      </c>
      <c r="B22" s="50" t="s">
        <v>181</v>
      </c>
      <c r="C22" s="50" t="s">
        <v>180</v>
      </c>
      <c r="D22" s="58">
        <v>350</v>
      </c>
    </row>
    <row r="23" spans="1:4" ht="14.1" customHeight="1">
      <c r="A23" s="50" t="s">
        <v>75</v>
      </c>
      <c r="B23" s="50" t="s">
        <v>75</v>
      </c>
      <c r="C23" s="50" t="s">
        <v>74</v>
      </c>
      <c r="D23" s="58">
        <v>215</v>
      </c>
    </row>
    <row r="24" spans="1:4" ht="14.1" customHeight="1">
      <c r="A24" s="50" t="s">
        <v>282</v>
      </c>
      <c r="B24" s="50" t="s">
        <v>195</v>
      </c>
      <c r="C24" s="50" t="s">
        <v>194</v>
      </c>
      <c r="D24" s="58">
        <v>1500.25</v>
      </c>
    </row>
    <row r="25" spans="1:4" ht="14.1" customHeight="1">
      <c r="A25" s="50" t="s">
        <v>220</v>
      </c>
      <c r="B25" s="50" t="s">
        <v>5</v>
      </c>
      <c r="C25" s="50" t="s">
        <v>4</v>
      </c>
      <c r="D25" s="58">
        <v>400</v>
      </c>
    </row>
    <row r="26" spans="1:4" ht="14.1" customHeight="1">
      <c r="A26" s="50" t="s">
        <v>271</v>
      </c>
      <c r="B26" s="50" t="s">
        <v>47</v>
      </c>
      <c r="C26" s="50" t="s">
        <v>46</v>
      </c>
      <c r="D26" s="58">
        <v>925.83</v>
      </c>
    </row>
    <row r="27" spans="1:4" ht="14.1" customHeight="1">
      <c r="A27" s="50" t="s">
        <v>259</v>
      </c>
      <c r="B27" s="50" t="s">
        <v>141</v>
      </c>
      <c r="C27" s="50" t="s">
        <v>140</v>
      </c>
      <c r="D27" s="58">
        <v>4250</v>
      </c>
    </row>
    <row r="28" spans="1:4" ht="14.1" customHeight="1">
      <c r="A28" s="50" t="s">
        <v>281</v>
      </c>
      <c r="B28" s="50" t="s">
        <v>193</v>
      </c>
      <c r="C28" s="50" t="s">
        <v>192</v>
      </c>
      <c r="D28" s="58">
        <v>425.25</v>
      </c>
    </row>
    <row r="29" spans="1:4" ht="14.1" customHeight="1">
      <c r="A29" s="50" t="s">
        <v>240</v>
      </c>
      <c r="B29" s="55" t="s">
        <v>101</v>
      </c>
      <c r="C29" s="50" t="s">
        <v>100</v>
      </c>
      <c r="D29" s="58">
        <v>2954.05</v>
      </c>
    </row>
    <row r="30" spans="1:4" ht="14.1" customHeight="1">
      <c r="A30" s="55" t="s">
        <v>345</v>
      </c>
      <c r="B30" s="50" t="s">
        <v>321</v>
      </c>
      <c r="C30" s="50" t="s">
        <v>297</v>
      </c>
      <c r="D30" s="58">
        <v>3128.13</v>
      </c>
    </row>
    <row r="31" spans="1:4" ht="14.1" customHeight="1">
      <c r="A31" s="50" t="s">
        <v>279</v>
      </c>
      <c r="B31" s="50" t="s">
        <v>183</v>
      </c>
      <c r="C31" s="50" t="s">
        <v>182</v>
      </c>
      <c r="D31" s="58">
        <v>143.65</v>
      </c>
    </row>
    <row r="32" spans="1:4" ht="14.1" customHeight="1">
      <c r="A32" s="50" t="s">
        <v>145</v>
      </c>
      <c r="B32" s="50" t="s">
        <v>145</v>
      </c>
      <c r="C32" s="50" t="s">
        <v>144</v>
      </c>
      <c r="D32" s="58">
        <v>3971.2</v>
      </c>
    </row>
    <row r="33" spans="1:4" ht="14.1" customHeight="1">
      <c r="A33" s="50" t="s">
        <v>322</v>
      </c>
      <c r="B33" s="50" t="s">
        <v>322</v>
      </c>
      <c r="C33" s="50" t="s">
        <v>298</v>
      </c>
      <c r="D33" s="58">
        <v>6335</v>
      </c>
    </row>
    <row r="34" spans="1:4" ht="14.1" customHeight="1">
      <c r="A34" s="50" t="s">
        <v>225</v>
      </c>
      <c r="B34" s="50" t="s">
        <v>19</v>
      </c>
      <c r="C34" s="50" t="s">
        <v>18</v>
      </c>
      <c r="D34" s="58">
        <v>750</v>
      </c>
    </row>
    <row r="35" spans="1:4" ht="14.1" customHeight="1">
      <c r="A35" s="50" t="s">
        <v>233</v>
      </c>
      <c r="B35" s="50" t="s">
        <v>65</v>
      </c>
      <c r="C35" s="50" t="s">
        <v>64</v>
      </c>
      <c r="D35" s="58">
        <v>900</v>
      </c>
    </row>
    <row r="36" spans="1:4" ht="14.1" customHeight="1">
      <c r="A36" s="50" t="s">
        <v>224</v>
      </c>
      <c r="B36" s="50" t="s">
        <v>15</v>
      </c>
      <c r="C36" s="50" t="s">
        <v>14</v>
      </c>
      <c r="D36" s="58">
        <v>800</v>
      </c>
    </row>
    <row r="37" spans="1:4" ht="14.1" customHeight="1">
      <c r="A37" s="106" t="s">
        <v>229</v>
      </c>
      <c r="B37" s="106" t="s">
        <v>25</v>
      </c>
      <c r="C37" s="106" t="s">
        <v>24</v>
      </c>
      <c r="D37" s="58">
        <v>1450</v>
      </c>
    </row>
    <row r="38" spans="1:4" ht="14.1" customHeight="1">
      <c r="A38" s="50" t="s">
        <v>280</v>
      </c>
      <c r="B38" s="50" t="s">
        <v>191</v>
      </c>
      <c r="C38" s="50" t="s">
        <v>190</v>
      </c>
      <c r="D38" s="58">
        <v>50</v>
      </c>
    </row>
    <row r="39" spans="1:4" ht="14.1" customHeight="1">
      <c r="A39" s="50" t="s">
        <v>236</v>
      </c>
      <c r="B39" s="50" t="s">
        <v>79</v>
      </c>
      <c r="C39" s="50" t="s">
        <v>78</v>
      </c>
      <c r="D39" s="58">
        <v>625</v>
      </c>
    </row>
    <row r="40" spans="1:4" ht="14.1" customHeight="1">
      <c r="A40" s="50" t="s">
        <v>323</v>
      </c>
      <c r="B40" s="50" t="s">
        <v>323</v>
      </c>
      <c r="C40" s="50" t="s">
        <v>299</v>
      </c>
      <c r="D40" s="58">
        <v>150</v>
      </c>
    </row>
    <row r="41" spans="1:4" ht="14.1" customHeight="1">
      <c r="A41" s="50" t="s">
        <v>324</v>
      </c>
      <c r="B41" s="50" t="s">
        <v>324</v>
      </c>
      <c r="C41" s="50" t="s">
        <v>300</v>
      </c>
      <c r="D41" s="58">
        <v>150</v>
      </c>
    </row>
    <row r="42" spans="1:4" ht="14.1" customHeight="1">
      <c r="A42" s="50" t="s">
        <v>67</v>
      </c>
      <c r="B42" s="50" t="s">
        <v>67</v>
      </c>
      <c r="C42" s="50" t="s">
        <v>66</v>
      </c>
      <c r="D42" s="58">
        <v>350</v>
      </c>
    </row>
    <row r="43" spans="1:4" ht="14.1" customHeight="1">
      <c r="A43" s="50" t="s">
        <v>325</v>
      </c>
      <c r="B43" s="50" t="s">
        <v>325</v>
      </c>
      <c r="C43" s="50" t="s">
        <v>301</v>
      </c>
      <c r="D43" s="58">
        <v>350</v>
      </c>
    </row>
    <row r="44" spans="1:4" ht="14.1" customHeight="1">
      <c r="A44" s="50" t="s">
        <v>238</v>
      </c>
      <c r="B44" s="50" t="s">
        <v>83</v>
      </c>
      <c r="C44" s="50" t="s">
        <v>82</v>
      </c>
      <c r="D44" s="58">
        <v>1220</v>
      </c>
    </row>
    <row r="45" spans="1:4" ht="14.1" customHeight="1">
      <c r="A45" s="50" t="s">
        <v>243</v>
      </c>
      <c r="B45" s="50" t="s">
        <v>33</v>
      </c>
      <c r="C45" s="50" t="s">
        <v>32</v>
      </c>
      <c r="D45" s="58">
        <v>3100</v>
      </c>
    </row>
    <row r="46" spans="1:4" ht="14.1" customHeight="1">
      <c r="A46" s="55" t="s">
        <v>346</v>
      </c>
      <c r="B46" s="55" t="s">
        <v>326</v>
      </c>
      <c r="C46" s="50" t="s">
        <v>302</v>
      </c>
      <c r="D46" s="58">
        <v>60</v>
      </c>
    </row>
    <row r="47" spans="1:4" ht="14.1" customHeight="1">
      <c r="A47" s="50" t="s">
        <v>241</v>
      </c>
      <c r="B47" s="50" t="s">
        <v>103</v>
      </c>
      <c r="C47" s="50" t="s">
        <v>102</v>
      </c>
      <c r="D47" s="58">
        <v>236</v>
      </c>
    </row>
    <row r="48" spans="1:4" ht="14.1" customHeight="1">
      <c r="A48" s="50" t="s">
        <v>242</v>
      </c>
      <c r="B48" s="50" t="s">
        <v>105</v>
      </c>
      <c r="C48" s="50" t="s">
        <v>104</v>
      </c>
      <c r="D48" s="58">
        <v>1027</v>
      </c>
    </row>
    <row r="49" spans="1:4" ht="14.1" customHeight="1">
      <c r="A49" s="50" t="s">
        <v>223</v>
      </c>
      <c r="B49" s="50" t="s">
        <v>13</v>
      </c>
      <c r="C49" s="50" t="s">
        <v>12</v>
      </c>
      <c r="D49" s="58">
        <v>465</v>
      </c>
    </row>
    <row r="50" spans="1:4" ht="14.1" customHeight="1">
      <c r="A50" s="50" t="s">
        <v>283</v>
      </c>
      <c r="B50" s="50" t="s">
        <v>197</v>
      </c>
      <c r="C50" s="50" t="s">
        <v>196</v>
      </c>
      <c r="D50" s="58">
        <v>90</v>
      </c>
    </row>
    <row r="51" spans="1:4" ht="14.1" customHeight="1">
      <c r="A51" s="55" t="s">
        <v>347</v>
      </c>
      <c r="B51" s="55" t="s">
        <v>327</v>
      </c>
      <c r="C51" s="50" t="s">
        <v>303</v>
      </c>
      <c r="D51" s="58">
        <v>96</v>
      </c>
    </row>
    <row r="52" spans="1:4" ht="14.1" customHeight="1">
      <c r="A52" s="55" t="s">
        <v>348</v>
      </c>
      <c r="B52" s="55" t="s">
        <v>328</v>
      </c>
      <c r="C52" s="50" t="s">
        <v>304</v>
      </c>
      <c r="D52" s="58">
        <v>246</v>
      </c>
    </row>
    <row r="53" spans="1:4" ht="14.1" customHeight="1">
      <c r="A53" s="55" t="s">
        <v>73</v>
      </c>
      <c r="B53" s="50" t="s">
        <v>73</v>
      </c>
      <c r="C53" s="50" t="s">
        <v>72</v>
      </c>
      <c r="D53" s="58">
        <v>650</v>
      </c>
    </row>
    <row r="54" spans="1:4" ht="14.1" customHeight="1">
      <c r="A54" s="50" t="s">
        <v>329</v>
      </c>
      <c r="B54" s="50" t="s">
        <v>329</v>
      </c>
      <c r="C54" s="50" t="s">
        <v>305</v>
      </c>
      <c r="D54" s="58">
        <v>390</v>
      </c>
    </row>
    <row r="55" spans="1:4" ht="14.1" customHeight="1">
      <c r="A55" s="50" t="s">
        <v>274</v>
      </c>
      <c r="B55" s="50" t="s">
        <v>171</v>
      </c>
      <c r="C55" s="50" t="s">
        <v>170</v>
      </c>
      <c r="D55" s="58">
        <v>475</v>
      </c>
    </row>
    <row r="56" spans="1:4" ht="14.1" customHeight="1">
      <c r="A56" s="50" t="s">
        <v>232</v>
      </c>
      <c r="B56" s="50" t="s">
        <v>49</v>
      </c>
      <c r="C56" s="50" t="s">
        <v>48</v>
      </c>
      <c r="D56" s="58">
        <v>348</v>
      </c>
    </row>
    <row r="57" spans="1:4" ht="14.1" customHeight="1">
      <c r="A57" s="50" t="s">
        <v>278</v>
      </c>
      <c r="B57" s="50" t="s">
        <v>135</v>
      </c>
      <c r="C57" s="50" t="s">
        <v>134</v>
      </c>
      <c r="D57" s="58">
        <v>900.15</v>
      </c>
    </row>
    <row r="58" spans="1:4" ht="14.1" customHeight="1">
      <c r="A58" s="50" t="s">
        <v>99</v>
      </c>
      <c r="B58" s="50" t="s">
        <v>99</v>
      </c>
      <c r="C58" s="50" t="s">
        <v>98</v>
      </c>
      <c r="D58" s="58">
        <v>999.6</v>
      </c>
    </row>
    <row r="59" spans="1:4" ht="14.1" customHeight="1">
      <c r="A59" s="50" t="s">
        <v>41</v>
      </c>
      <c r="B59" s="50" t="s">
        <v>41</v>
      </c>
      <c r="C59" s="50" t="s">
        <v>40</v>
      </c>
      <c r="D59" s="58">
        <v>2499</v>
      </c>
    </row>
    <row r="60" spans="1:4" ht="14.1" customHeight="1">
      <c r="A60" s="50" t="s">
        <v>262</v>
      </c>
      <c r="B60" s="50" t="s">
        <v>149</v>
      </c>
      <c r="C60" s="50" t="s">
        <v>148</v>
      </c>
      <c r="D60" s="58">
        <v>1906.67</v>
      </c>
    </row>
    <row r="61" spans="1:4" ht="14.1" customHeight="1">
      <c r="A61" s="50" t="s">
        <v>261</v>
      </c>
      <c r="B61" s="50" t="s">
        <v>147</v>
      </c>
      <c r="C61" s="50" t="s">
        <v>146</v>
      </c>
      <c r="D61" s="58">
        <v>760</v>
      </c>
    </row>
    <row r="62" spans="1:4" ht="14.1" customHeight="1">
      <c r="A62" s="50" t="s">
        <v>248</v>
      </c>
      <c r="B62" s="50" t="s">
        <v>93</v>
      </c>
      <c r="C62" s="50" t="s">
        <v>92</v>
      </c>
      <c r="D62" s="58">
        <v>4400</v>
      </c>
    </row>
    <row r="63" spans="1:4" ht="14.1" customHeight="1">
      <c r="A63" s="50" t="s">
        <v>246</v>
      </c>
      <c r="B63" s="50" t="s">
        <v>95</v>
      </c>
      <c r="C63" s="50" t="s">
        <v>94</v>
      </c>
      <c r="D63" s="58">
        <v>3559</v>
      </c>
    </row>
    <row r="64" spans="1:4" ht="14.1" customHeight="1">
      <c r="A64" s="50" t="s">
        <v>247</v>
      </c>
      <c r="B64" s="50" t="s">
        <v>97</v>
      </c>
      <c r="C64" s="50" t="s">
        <v>96</v>
      </c>
      <c r="D64" s="58">
        <v>3795</v>
      </c>
    </row>
    <row r="65" spans="1:4" ht="14.1" customHeight="1">
      <c r="A65" s="50" t="s">
        <v>269</v>
      </c>
      <c r="B65" s="50" t="s">
        <v>157</v>
      </c>
      <c r="C65" s="50" t="s">
        <v>156</v>
      </c>
      <c r="D65" s="58">
        <v>1885.5</v>
      </c>
    </row>
    <row r="66" spans="1:4" ht="14.1" customHeight="1">
      <c r="A66" s="50" t="s">
        <v>231</v>
      </c>
      <c r="B66" s="50" t="s">
        <v>35</v>
      </c>
      <c r="C66" s="50" t="s">
        <v>34</v>
      </c>
      <c r="D66" s="58">
        <v>1000</v>
      </c>
    </row>
    <row r="67" spans="1:4" ht="14.1" customHeight="1">
      <c r="A67" s="55" t="s">
        <v>349</v>
      </c>
      <c r="B67" s="55" t="s">
        <v>330</v>
      </c>
      <c r="C67" s="50" t="s">
        <v>306</v>
      </c>
      <c r="D67" s="58">
        <v>135</v>
      </c>
    </row>
    <row r="68" spans="1:4" ht="14.1" customHeight="1">
      <c r="A68" s="55" t="s">
        <v>350</v>
      </c>
      <c r="B68" s="50" t="s">
        <v>17</v>
      </c>
      <c r="C68" s="50" t="s">
        <v>16</v>
      </c>
      <c r="D68" s="58">
        <v>1000</v>
      </c>
    </row>
    <row r="69" spans="1:4" ht="14.1" customHeight="1">
      <c r="A69" s="55" t="s">
        <v>351</v>
      </c>
      <c r="B69" s="55" t="s">
        <v>331</v>
      </c>
      <c r="C69" s="50" t="s">
        <v>307</v>
      </c>
      <c r="D69" s="58">
        <v>135</v>
      </c>
    </row>
    <row r="70" spans="1:4" ht="14.1" customHeight="1">
      <c r="A70" s="50" t="s">
        <v>237</v>
      </c>
      <c r="B70" s="50" t="s">
        <v>81</v>
      </c>
      <c r="C70" s="50" t="s">
        <v>80</v>
      </c>
      <c r="D70" s="58">
        <v>5534.49</v>
      </c>
    </row>
    <row r="71" spans="1:4" ht="14.1" customHeight="1">
      <c r="A71" s="50" t="s">
        <v>222</v>
      </c>
      <c r="B71" s="50" t="s">
        <v>11</v>
      </c>
      <c r="C71" s="50" t="s">
        <v>10</v>
      </c>
      <c r="D71" s="58">
        <v>255</v>
      </c>
    </row>
    <row r="72" spans="1:4" ht="14.1" customHeight="1">
      <c r="A72" s="50" t="s">
        <v>332</v>
      </c>
      <c r="B72" s="50" t="s">
        <v>332</v>
      </c>
      <c r="C72" s="50" t="s">
        <v>308</v>
      </c>
      <c r="D72" s="58">
        <v>1717.09</v>
      </c>
    </row>
    <row r="73" spans="1:4" ht="14.1" customHeight="1">
      <c r="A73" s="50" t="s">
        <v>235</v>
      </c>
      <c r="B73" s="50" t="s">
        <v>21</v>
      </c>
      <c r="C73" s="50" t="s">
        <v>20</v>
      </c>
      <c r="D73" s="58">
        <v>1250</v>
      </c>
    </row>
    <row r="74" spans="1:4" ht="14.1" customHeight="1">
      <c r="A74" s="50" t="s">
        <v>284</v>
      </c>
      <c r="B74" s="50" t="s">
        <v>201</v>
      </c>
      <c r="C74" s="50" t="s">
        <v>200</v>
      </c>
      <c r="D74" s="58">
        <v>2300</v>
      </c>
    </row>
    <row r="75" spans="1:4" ht="14.1" customHeight="1">
      <c r="A75" s="50" t="s">
        <v>258</v>
      </c>
      <c r="B75" s="50" t="s">
        <v>45</v>
      </c>
      <c r="C75" s="50" t="s">
        <v>44</v>
      </c>
      <c r="D75" s="58">
        <v>335</v>
      </c>
    </row>
    <row r="76" spans="1:4" ht="14.1" customHeight="1">
      <c r="A76" s="50" t="s">
        <v>252</v>
      </c>
      <c r="B76" s="50" t="s">
        <v>31</v>
      </c>
      <c r="C76" s="50" t="s">
        <v>30</v>
      </c>
      <c r="D76" s="58">
        <v>1240</v>
      </c>
    </row>
    <row r="77" spans="1:4" ht="14.1" customHeight="1">
      <c r="A77" s="50" t="s">
        <v>239</v>
      </c>
      <c r="B77" s="50" t="s">
        <v>85</v>
      </c>
      <c r="C77" s="50" t="s">
        <v>84</v>
      </c>
      <c r="D77" s="58">
        <v>1200.2</v>
      </c>
    </row>
    <row r="78" spans="1:4" ht="14.1" customHeight="1">
      <c r="A78" s="50" t="s">
        <v>226</v>
      </c>
      <c r="B78" s="50" t="s">
        <v>39</v>
      </c>
      <c r="C78" s="50" t="s">
        <v>38</v>
      </c>
      <c r="D78" s="58">
        <v>400</v>
      </c>
    </row>
    <row r="79" spans="1:4" ht="14.1" customHeight="1">
      <c r="A79" s="50" t="s">
        <v>253</v>
      </c>
      <c r="B79" s="50" t="s">
        <v>29</v>
      </c>
      <c r="C79" s="50" t="s">
        <v>28</v>
      </c>
      <c r="D79" s="58">
        <v>1650</v>
      </c>
    </row>
    <row r="80" spans="1:4" ht="14.1" customHeight="1">
      <c r="A80" s="50" t="s">
        <v>254</v>
      </c>
      <c r="B80" s="50" t="s">
        <v>119</v>
      </c>
      <c r="C80" s="50" t="s">
        <v>118</v>
      </c>
      <c r="D80" s="58">
        <v>674</v>
      </c>
    </row>
    <row r="81" spans="1:4" ht="14.1" customHeight="1">
      <c r="A81" s="50" t="s">
        <v>23</v>
      </c>
      <c r="B81" s="50" t="s">
        <v>23</v>
      </c>
      <c r="C81" s="50" t="s">
        <v>22</v>
      </c>
      <c r="D81" s="58">
        <v>550</v>
      </c>
    </row>
    <row r="82" spans="1:4" ht="14.1" customHeight="1">
      <c r="A82" s="50" t="s">
        <v>255</v>
      </c>
      <c r="B82" s="50" t="s">
        <v>123</v>
      </c>
      <c r="C82" s="50" t="s">
        <v>122</v>
      </c>
      <c r="D82" s="58">
        <v>525</v>
      </c>
    </row>
    <row r="83" spans="1:4" ht="14.1" customHeight="1">
      <c r="A83" s="50" t="s">
        <v>260</v>
      </c>
      <c r="B83" s="50" t="s">
        <v>143</v>
      </c>
      <c r="C83" s="50" t="s">
        <v>142</v>
      </c>
      <c r="D83" s="58">
        <v>13</v>
      </c>
    </row>
    <row r="84" spans="1:4" ht="14.1" customHeight="1">
      <c r="A84" s="50" t="s">
        <v>272</v>
      </c>
      <c r="B84" s="50" t="s">
        <v>165</v>
      </c>
      <c r="C84" s="50" t="s">
        <v>164</v>
      </c>
      <c r="D84" s="58">
        <v>350.2</v>
      </c>
    </row>
    <row r="85" spans="1:4" ht="14.1" customHeight="1">
      <c r="A85" s="55" t="s">
        <v>352</v>
      </c>
      <c r="B85" s="55" t="s">
        <v>333</v>
      </c>
      <c r="C85" s="50" t="s">
        <v>309</v>
      </c>
      <c r="D85" s="58">
        <v>75</v>
      </c>
    </row>
    <row r="86" spans="1:4" ht="14.1" customHeight="1">
      <c r="A86" s="55" t="s">
        <v>353</v>
      </c>
      <c r="B86" s="55" t="s">
        <v>187</v>
      </c>
      <c r="C86" s="50" t="s">
        <v>186</v>
      </c>
      <c r="D86" s="58">
        <v>48</v>
      </c>
    </row>
    <row r="87" spans="1:4" ht="14.1" customHeight="1">
      <c r="A87" s="50" t="s">
        <v>264</v>
      </c>
      <c r="B87" s="50" t="s">
        <v>131</v>
      </c>
      <c r="C87" s="50" t="s">
        <v>130</v>
      </c>
      <c r="D87" s="58">
        <v>194.37</v>
      </c>
    </row>
    <row r="88" spans="1:4" ht="14.1" customHeight="1">
      <c r="A88" s="50" t="s">
        <v>221</v>
      </c>
      <c r="B88" s="50" t="s">
        <v>185</v>
      </c>
      <c r="C88" s="50" t="s">
        <v>184</v>
      </c>
      <c r="D88" s="58">
        <v>149</v>
      </c>
    </row>
    <row r="89" spans="1:4" ht="14.1" customHeight="1">
      <c r="A89" s="50" t="s">
        <v>221</v>
      </c>
      <c r="B89" s="50" t="s">
        <v>7</v>
      </c>
      <c r="C89" s="50" t="s">
        <v>6</v>
      </c>
      <c r="D89" s="58">
        <v>150</v>
      </c>
    </row>
    <row r="90" spans="1:4" ht="14.1" customHeight="1">
      <c r="A90" s="50" t="s">
        <v>221</v>
      </c>
      <c r="B90" s="50" t="s">
        <v>117</v>
      </c>
      <c r="C90" s="50" t="s">
        <v>116</v>
      </c>
      <c r="D90" s="58">
        <v>150</v>
      </c>
    </row>
    <row r="91" spans="1:4" ht="14.1" customHeight="1">
      <c r="A91" s="50" t="s">
        <v>275</v>
      </c>
      <c r="B91" s="50" t="s">
        <v>175</v>
      </c>
      <c r="C91" s="50" t="s">
        <v>174</v>
      </c>
      <c r="D91" s="58">
        <v>40</v>
      </c>
    </row>
    <row r="92" spans="1:4" ht="14.1" customHeight="1">
      <c r="A92" s="50" t="s">
        <v>276</v>
      </c>
      <c r="B92" s="50" t="s">
        <v>177</v>
      </c>
      <c r="C92" s="50" t="s">
        <v>176</v>
      </c>
      <c r="D92" s="58">
        <v>63</v>
      </c>
    </row>
    <row r="93" spans="1:4" ht="14.1" customHeight="1">
      <c r="A93" s="50" t="s">
        <v>228</v>
      </c>
      <c r="B93" s="50" t="s">
        <v>53</v>
      </c>
      <c r="C93" s="50" t="s">
        <v>52</v>
      </c>
      <c r="D93" s="58">
        <v>12000</v>
      </c>
    </row>
    <row r="94" spans="1:4" ht="14.1" customHeight="1">
      <c r="A94" s="50" t="s">
        <v>219</v>
      </c>
      <c r="B94" s="50" t="s">
        <v>3</v>
      </c>
      <c r="C94" s="50" t="s">
        <v>2</v>
      </c>
      <c r="D94" s="58">
        <v>12000</v>
      </c>
    </row>
    <row r="95" spans="1:4" ht="14.1" customHeight="1">
      <c r="A95" s="50" t="s">
        <v>354</v>
      </c>
      <c r="B95" s="50" t="s">
        <v>334</v>
      </c>
      <c r="C95" s="50" t="s">
        <v>310</v>
      </c>
      <c r="D95" s="58">
        <v>104160</v>
      </c>
    </row>
    <row r="96" spans="1:4" ht="14.1" customHeight="1">
      <c r="A96" s="50" t="s">
        <v>227</v>
      </c>
      <c r="B96" s="50" t="s">
        <v>51</v>
      </c>
      <c r="C96" s="50" t="s">
        <v>50</v>
      </c>
      <c r="D96" s="58">
        <v>18000</v>
      </c>
    </row>
    <row r="97" spans="1:4" ht="14.1" customHeight="1">
      <c r="A97" s="50" t="s">
        <v>355</v>
      </c>
      <c r="B97" s="50" t="s">
        <v>335</v>
      </c>
      <c r="C97" s="50" t="s">
        <v>311</v>
      </c>
      <c r="D97" s="58">
        <v>45</v>
      </c>
    </row>
    <row r="98" spans="1:4" ht="14.1" customHeight="1">
      <c r="A98" s="50" t="s">
        <v>356</v>
      </c>
      <c r="B98" s="50" t="s">
        <v>336</v>
      </c>
      <c r="C98" s="50" t="s">
        <v>312</v>
      </c>
      <c r="D98" s="58">
        <v>45</v>
      </c>
    </row>
    <row r="99" spans="1:4" ht="14.1" customHeight="1">
      <c r="A99" s="50" t="s">
        <v>1</v>
      </c>
      <c r="B99" s="50" t="s">
        <v>1</v>
      </c>
      <c r="C99" s="50" t="s">
        <v>0</v>
      </c>
      <c r="D99" s="58">
        <v>12000</v>
      </c>
    </row>
    <row r="100" spans="1:4" ht="14.1" customHeight="1">
      <c r="A100" s="50" t="s">
        <v>189</v>
      </c>
      <c r="B100" s="50" t="s">
        <v>189</v>
      </c>
      <c r="C100" s="50" t="s">
        <v>188</v>
      </c>
      <c r="D100" s="58">
        <v>26000</v>
      </c>
    </row>
    <row r="101" spans="1:4" ht="14.1" customHeight="1">
      <c r="A101" s="50" t="s">
        <v>59</v>
      </c>
      <c r="B101" s="50" t="s">
        <v>59</v>
      </c>
      <c r="C101" s="50" t="s">
        <v>58</v>
      </c>
      <c r="D101" s="58">
        <v>4630.5</v>
      </c>
    </row>
    <row r="102" spans="1:4" ht="14.1" customHeight="1">
      <c r="A102" s="50" t="s">
        <v>161</v>
      </c>
      <c r="B102" s="50" t="s">
        <v>161</v>
      </c>
      <c r="C102" s="50" t="s">
        <v>160</v>
      </c>
      <c r="D102" s="58">
        <v>206.25</v>
      </c>
    </row>
    <row r="103" spans="1:4" ht="14.1" customHeight="1">
      <c r="A103" s="50" t="s">
        <v>337</v>
      </c>
      <c r="B103" s="50" t="s">
        <v>337</v>
      </c>
      <c r="C103" s="50" t="s">
        <v>313</v>
      </c>
      <c r="D103" s="58">
        <v>108</v>
      </c>
    </row>
    <row r="104" spans="1:4" ht="14.1" customHeight="1">
      <c r="A104" s="50" t="s">
        <v>9</v>
      </c>
      <c r="B104" s="50" t="s">
        <v>9</v>
      </c>
      <c r="C104" s="50" t="s">
        <v>8</v>
      </c>
      <c r="D104" s="58">
        <v>1750</v>
      </c>
    </row>
    <row r="105" spans="1:4" ht="14.1" customHeight="1">
      <c r="A105" s="50" t="s">
        <v>338</v>
      </c>
      <c r="B105" s="50" t="s">
        <v>338</v>
      </c>
      <c r="C105" s="50" t="s">
        <v>314</v>
      </c>
      <c r="D105" s="58">
        <v>220</v>
      </c>
    </row>
    <row r="106" spans="1:4" ht="14.1" customHeight="1">
      <c r="A106" s="50" t="s">
        <v>107</v>
      </c>
      <c r="B106" s="50" t="s">
        <v>107</v>
      </c>
      <c r="C106" s="50" t="s">
        <v>106</v>
      </c>
      <c r="D106" s="58">
        <v>320.10000000000002</v>
      </c>
    </row>
    <row r="107" spans="1:4" ht="14.1" customHeight="1">
      <c r="A107" s="50" t="s">
        <v>27</v>
      </c>
      <c r="B107" s="50" t="s">
        <v>27</v>
      </c>
      <c r="C107" s="50" t="s">
        <v>26</v>
      </c>
      <c r="D107" s="58">
        <v>250</v>
      </c>
    </row>
    <row r="108" spans="1:4" ht="14.1" customHeight="1">
      <c r="A108" s="50" t="s">
        <v>167</v>
      </c>
      <c r="B108" s="50" t="s">
        <v>167</v>
      </c>
      <c r="C108" s="50" t="s">
        <v>166</v>
      </c>
      <c r="D108" s="58">
        <v>1105</v>
      </c>
    </row>
    <row r="109" spans="1:4" ht="14.1" customHeight="1">
      <c r="A109" s="50" t="s">
        <v>339</v>
      </c>
      <c r="B109" s="50" t="s">
        <v>339</v>
      </c>
      <c r="C109" s="50" t="s">
        <v>315</v>
      </c>
      <c r="D109" s="58">
        <v>149.4</v>
      </c>
    </row>
    <row r="110" spans="1:4" ht="14.1" customHeight="1">
      <c r="A110" s="50" t="s">
        <v>71</v>
      </c>
      <c r="B110" s="50" t="s">
        <v>71</v>
      </c>
      <c r="C110" s="50" t="s">
        <v>70</v>
      </c>
      <c r="D110" s="58">
        <v>5200</v>
      </c>
    </row>
    <row r="111" spans="1:4" ht="14.1" customHeight="1">
      <c r="A111" s="50" t="s">
        <v>121</v>
      </c>
      <c r="B111" s="50" t="s">
        <v>121</v>
      </c>
      <c r="C111" s="50" t="s">
        <v>120</v>
      </c>
      <c r="D111" s="58">
        <v>174.75</v>
      </c>
    </row>
    <row r="112" spans="1:4" ht="14.1" customHeight="1">
      <c r="A112" s="50" t="s">
        <v>129</v>
      </c>
      <c r="B112" s="50" t="s">
        <v>129</v>
      </c>
      <c r="C112" s="50" t="s">
        <v>128</v>
      </c>
      <c r="D112" s="58">
        <v>174.75</v>
      </c>
    </row>
    <row r="113" spans="1:4" ht="14.1" customHeight="1">
      <c r="A113" s="50" t="s">
        <v>55</v>
      </c>
      <c r="B113" s="50" t="s">
        <v>55</v>
      </c>
      <c r="C113" s="50" t="s">
        <v>54</v>
      </c>
      <c r="D113" s="58">
        <v>878</v>
      </c>
    </row>
    <row r="114" spans="1:4" ht="14.1" customHeight="1">
      <c r="A114" s="50" t="s">
        <v>77</v>
      </c>
      <c r="B114" s="50" t="s">
        <v>77</v>
      </c>
      <c r="C114" s="50" t="s">
        <v>76</v>
      </c>
      <c r="D114" s="58">
        <v>175</v>
      </c>
    </row>
    <row r="115" spans="1:4" ht="14.1" customHeight="1">
      <c r="A115" s="50" t="s">
        <v>199</v>
      </c>
      <c r="B115" s="50" t="s">
        <v>199</v>
      </c>
      <c r="C115" s="50" t="s">
        <v>198</v>
      </c>
      <c r="D115" s="58">
        <v>1050</v>
      </c>
    </row>
    <row r="116" spans="1:4" ht="14.1" customHeight="1">
      <c r="A116" s="50" t="s">
        <v>37</v>
      </c>
      <c r="B116" s="50" t="s">
        <v>37</v>
      </c>
      <c r="C116" s="50" t="s">
        <v>36</v>
      </c>
      <c r="D116" s="58">
        <v>1085</v>
      </c>
    </row>
    <row r="117" spans="1:4" ht="14.1" customHeight="1">
      <c r="A117" s="50" t="s">
        <v>43</v>
      </c>
      <c r="B117" s="50" t="s">
        <v>43</v>
      </c>
      <c r="C117" s="50" t="s">
        <v>42</v>
      </c>
      <c r="D117" s="58">
        <v>1085</v>
      </c>
    </row>
    <row r="118" spans="1:4" ht="14.1" customHeight="1">
      <c r="A118" s="50" t="s">
        <v>340</v>
      </c>
      <c r="B118" s="50" t="s">
        <v>340</v>
      </c>
      <c r="C118" s="50" t="s">
        <v>316</v>
      </c>
      <c r="D118" s="58">
        <v>2000.05</v>
      </c>
    </row>
    <row r="119" spans="1:4" ht="14.1" customHeight="1">
      <c r="A119" s="50" t="s">
        <v>179</v>
      </c>
      <c r="B119" s="50" t="s">
        <v>179</v>
      </c>
      <c r="C119" s="50" t="s">
        <v>178</v>
      </c>
      <c r="D119" s="58">
        <v>1500.25</v>
      </c>
    </row>
    <row r="120" spans="1:4" ht="14.1" customHeight="1">
      <c r="A120" s="50" t="s">
        <v>341</v>
      </c>
      <c r="B120" s="50" t="s">
        <v>341</v>
      </c>
      <c r="C120" s="50" t="s">
        <v>317</v>
      </c>
      <c r="D120" s="58">
        <v>61</v>
      </c>
    </row>
    <row r="121" spans="1:4" ht="14.1" customHeight="1"/>
    <row r="122" spans="1:4" ht="14.1" customHeight="1"/>
    <row r="123" spans="1:4" ht="14.1" customHeight="1"/>
    <row r="124" spans="1:4" ht="14.1" customHeight="1"/>
    <row r="125" spans="1:4" ht="14.1" customHeight="1"/>
    <row r="126" spans="1:4" ht="14.1" customHeight="1"/>
    <row r="127" spans="1:4" ht="14.1" customHeight="1"/>
    <row r="128" spans="1:4" ht="14.1" customHeight="1"/>
    <row r="129" ht="14.1" customHeight="1"/>
    <row r="130" ht="14.1" customHeight="1"/>
    <row r="131" ht="14.1" customHeight="1"/>
    <row r="132" ht="14.1" customHeight="1"/>
    <row r="133" ht="14.1" customHeight="1"/>
    <row r="134" ht="14.1" customHeight="1"/>
    <row r="135" ht="14.1" customHeight="1"/>
    <row r="136" ht="14.1" customHeight="1"/>
    <row r="137" ht="14.1" customHeight="1"/>
    <row r="138" ht="14.1" customHeight="1"/>
    <row r="139" ht="14.1" customHeight="1"/>
    <row r="140" ht="14.1" customHeight="1"/>
    <row r="141" ht="14.1" customHeight="1"/>
    <row r="142" ht="14.1" customHeight="1"/>
    <row r="143" ht="14.1" customHeight="1"/>
    <row r="144" ht="14.1" customHeight="1"/>
    <row r="145" ht="14.1" customHeight="1"/>
    <row r="146" ht="14.1" customHeight="1"/>
    <row r="147" ht="14.1" customHeight="1"/>
    <row r="148" ht="14.1" customHeight="1"/>
    <row r="149" ht="14.1" customHeight="1"/>
    <row r="150" ht="14.1" customHeight="1"/>
    <row r="151" ht="14.1" customHeight="1"/>
    <row r="152" ht="14.1" customHeight="1"/>
    <row r="153" ht="14.1" customHeight="1"/>
    <row r="154" ht="14.1" customHeight="1"/>
    <row r="155" ht="14.1" customHeight="1"/>
    <row r="156" ht="14.1" customHeight="1"/>
    <row r="157" ht="14.1" customHeight="1"/>
    <row r="158" ht="14.1" customHeight="1"/>
    <row r="159" ht="14.1" customHeight="1"/>
    <row r="160" ht="14.1" customHeight="1"/>
    <row r="161" ht="14.1" customHeight="1"/>
    <row r="162" ht="14.1" customHeight="1"/>
    <row r="163" ht="14.1" customHeight="1"/>
    <row r="164" ht="14.1" customHeight="1"/>
    <row r="165" ht="14.1" customHeight="1"/>
    <row r="166" ht="14.1" customHeight="1"/>
    <row r="167" ht="14.1" customHeight="1"/>
    <row r="168" ht="14.1" customHeight="1"/>
    <row r="169" ht="14.1" customHeight="1"/>
    <row r="170" ht="14.1" customHeight="1"/>
    <row r="171" ht="14.1" customHeight="1"/>
    <row r="172" ht="14.1" customHeight="1"/>
    <row r="173" ht="14.1" customHeight="1"/>
    <row r="174" ht="14.1" customHeight="1"/>
    <row r="175" ht="14.1" customHeight="1"/>
    <row r="176" ht="14.1" customHeight="1"/>
    <row r="177" ht="14.1" customHeight="1"/>
    <row r="178" ht="14.1" customHeight="1"/>
    <row r="179" ht="14.1" customHeight="1"/>
    <row r="180" ht="14.1" customHeight="1"/>
    <row r="181" ht="14.1" customHeight="1"/>
    <row r="182" ht="14.1" customHeight="1"/>
    <row r="183" ht="14.1" customHeight="1"/>
    <row r="184" ht="14.1" customHeight="1"/>
    <row r="185" ht="14.1" customHeight="1"/>
    <row r="186" ht="14.1" customHeight="1"/>
    <row r="187" ht="14.1" customHeight="1"/>
    <row r="188" ht="14.1" customHeight="1"/>
    <row r="189" ht="14.1" customHeight="1"/>
    <row r="190" ht="14.1" customHeight="1"/>
    <row r="191" ht="14.1" customHeight="1"/>
    <row r="192" ht="14.1" customHeight="1"/>
    <row r="193" ht="14.1" customHeight="1"/>
    <row r="194" ht="14.1" customHeight="1"/>
    <row r="195" ht="14.1" customHeight="1"/>
    <row r="196" ht="14.1" customHeight="1"/>
    <row r="197" ht="14.1" customHeight="1"/>
    <row r="198" ht="14.1" customHeight="1"/>
    <row r="199" ht="14.1" customHeight="1"/>
    <row r="200" ht="14.1" customHeight="1"/>
    <row r="201" ht="14.1" customHeight="1"/>
    <row r="202" ht="14.1" customHeight="1"/>
    <row r="203" ht="14.1" customHeight="1"/>
    <row r="204" ht="14.1" customHeight="1"/>
    <row r="205" ht="14.1" customHeight="1"/>
    <row r="206" ht="14.1" customHeight="1"/>
    <row r="207" ht="14.1" customHeight="1"/>
    <row r="208" ht="14.1" customHeight="1"/>
    <row r="209" ht="14.1" customHeight="1"/>
    <row r="210" ht="14.1" customHeight="1"/>
    <row r="211" ht="14.1" customHeight="1"/>
    <row r="212" ht="14.1" customHeight="1"/>
    <row r="213" ht="14.1" customHeight="1"/>
    <row r="214" ht="14.1" customHeight="1"/>
    <row r="215" ht="14.1" customHeight="1"/>
    <row r="216" ht="14.1" customHeight="1"/>
    <row r="217" ht="14.1" customHeight="1"/>
    <row r="218" ht="14.1" customHeight="1"/>
    <row r="219" ht="14.1" customHeight="1"/>
    <row r="220" ht="14.1" customHeight="1"/>
    <row r="221" ht="14.1" customHeight="1"/>
    <row r="222" ht="14.1" customHeight="1"/>
    <row r="223" ht="14.1" customHeight="1"/>
    <row r="224" ht="14.1" customHeight="1"/>
    <row r="225" ht="14.1" customHeight="1"/>
    <row r="226" ht="14.1" customHeight="1"/>
    <row r="227" ht="14.1" customHeight="1"/>
    <row r="228" ht="14.1" customHeight="1"/>
    <row r="229" ht="14.1" customHeight="1"/>
    <row r="230" ht="14.1" customHeight="1"/>
    <row r="231" ht="14.1" customHeight="1"/>
    <row r="232" ht="14.1" customHeight="1"/>
    <row r="233" ht="14.1" customHeight="1"/>
    <row r="234" ht="14.1" customHeight="1"/>
    <row r="235" ht="14.1" customHeight="1"/>
    <row r="236" ht="14.1" customHeight="1"/>
    <row r="237" ht="14.1" customHeight="1"/>
    <row r="238" ht="14.1" customHeight="1"/>
    <row r="239" ht="14.1" customHeight="1"/>
    <row r="240" ht="14.1" customHeight="1"/>
    <row r="241" ht="14.1" customHeight="1"/>
    <row r="242" ht="14.1" customHeight="1"/>
    <row r="243" ht="14.1" customHeight="1"/>
    <row r="244" ht="14.1" customHeight="1"/>
    <row r="245" ht="14.1" customHeight="1"/>
    <row r="246" ht="14.1" customHeight="1"/>
    <row r="247" ht="14.1" customHeight="1"/>
    <row r="248" ht="14.1" customHeight="1"/>
    <row r="249" ht="14.1" customHeight="1"/>
    <row r="250" ht="14.1" customHeight="1"/>
    <row r="251" ht="14.1" customHeight="1"/>
    <row r="252" ht="14.1" customHeight="1"/>
    <row r="253" ht="14.1" customHeight="1"/>
    <row r="254" ht="14.1" customHeight="1"/>
    <row r="255" ht="14.1" customHeight="1"/>
    <row r="256" ht="14.1" customHeight="1"/>
    <row r="257" ht="14.1" customHeight="1"/>
    <row r="258" ht="14.1" customHeight="1"/>
    <row r="259" ht="14.1" customHeight="1"/>
    <row r="260" ht="14.1" customHeight="1"/>
    <row r="261" ht="14.1" customHeight="1"/>
    <row r="262" ht="14.1" customHeight="1"/>
    <row r="263" ht="14.1" customHeight="1"/>
    <row r="264" ht="14.1" customHeight="1"/>
    <row r="265" ht="14.1" customHeight="1"/>
    <row r="266" ht="14.1" customHeight="1"/>
    <row r="267" ht="14.1" customHeight="1"/>
    <row r="268" ht="14.1" customHeight="1"/>
    <row r="269" ht="14.1" customHeight="1"/>
    <row r="270" ht="14.1" customHeight="1"/>
    <row r="271" ht="14.1" customHeight="1"/>
    <row r="272" ht="14.1" customHeight="1"/>
    <row r="273" ht="14.1" customHeight="1"/>
    <row r="274" ht="14.1" customHeight="1"/>
    <row r="275" ht="14.1" customHeight="1"/>
    <row r="276" ht="14.1" customHeight="1"/>
    <row r="277" ht="14.1" customHeight="1"/>
    <row r="278" ht="14.1" customHeight="1"/>
    <row r="279" ht="14.1" customHeight="1"/>
    <row r="280" ht="14.1" customHeight="1"/>
    <row r="281" ht="14.1" customHeight="1"/>
    <row r="282" ht="14.1" customHeight="1"/>
    <row r="283" ht="14.1" customHeight="1"/>
    <row r="284" ht="14.1" customHeight="1"/>
    <row r="285" ht="14.1" customHeight="1"/>
    <row r="286" ht="14.1" customHeight="1"/>
    <row r="287" ht="14.1" customHeight="1"/>
    <row r="288" ht="14.1" customHeight="1"/>
    <row r="289" ht="14.1" customHeight="1"/>
    <row r="290" ht="14.1" customHeight="1"/>
    <row r="291" ht="14.1" customHeight="1"/>
    <row r="292" ht="14.1" customHeight="1"/>
    <row r="293" ht="14.1" customHeight="1"/>
    <row r="294" ht="14.1" customHeight="1"/>
    <row r="295" ht="14.1" customHeight="1"/>
    <row r="296" ht="14.1" customHeight="1"/>
    <row r="297" ht="14.1" customHeight="1"/>
    <row r="298" ht="14.1" customHeight="1"/>
    <row r="299" ht="14.1" customHeight="1"/>
    <row r="300" ht="14.1" customHeight="1"/>
    <row r="301" ht="14.1" customHeight="1"/>
    <row r="302" ht="14.1" customHeight="1"/>
    <row r="303" ht="14.1" customHeight="1"/>
    <row r="304" ht="14.1" customHeight="1"/>
    <row r="305" ht="14.1" customHeight="1"/>
    <row r="306" ht="14.1" customHeight="1"/>
    <row r="307" ht="14.1" customHeight="1"/>
    <row r="308" ht="14.1" customHeight="1"/>
    <row r="309" ht="14.1" customHeight="1"/>
    <row r="310" ht="14.1" customHeight="1"/>
    <row r="311" ht="14.1" customHeight="1"/>
    <row r="312" ht="14.1" customHeight="1"/>
    <row r="313" ht="14.1" customHeight="1"/>
    <row r="314" ht="14.1" customHeight="1"/>
    <row r="315" ht="14.1" customHeight="1"/>
    <row r="316" ht="14.1" customHeight="1"/>
    <row r="317" ht="14.1" customHeight="1"/>
    <row r="318" ht="14.1" customHeight="1"/>
    <row r="319" ht="14.1" customHeight="1"/>
    <row r="320" ht="14.1" customHeight="1"/>
    <row r="321" ht="14.1" customHeight="1"/>
    <row r="322" ht="14.1" customHeight="1"/>
    <row r="323" ht="14.1" customHeight="1"/>
    <row r="324" ht="14.1" customHeight="1"/>
    <row r="325" ht="14.1" customHeight="1"/>
    <row r="326" ht="14.1" customHeight="1"/>
    <row r="327" ht="14.1" customHeight="1"/>
    <row r="328" ht="14.1" customHeight="1"/>
    <row r="329" ht="14.1" customHeight="1"/>
    <row r="330" ht="14.1" customHeight="1"/>
    <row r="331" ht="14.1" customHeight="1"/>
    <row r="332" ht="14.1" customHeight="1"/>
    <row r="333" ht="14.1" customHeight="1"/>
    <row r="334" ht="14.1" customHeight="1"/>
    <row r="335" ht="14.1" customHeight="1"/>
    <row r="336" ht="14.1" customHeight="1"/>
    <row r="337" ht="14.1" customHeight="1"/>
    <row r="338" ht="14.1" customHeight="1"/>
    <row r="339" ht="14.1" customHeight="1"/>
    <row r="340" ht="14.1" customHeight="1"/>
    <row r="341" ht="14.1" customHeight="1"/>
    <row r="342" ht="14.1" customHeight="1"/>
    <row r="343" ht="14.1" customHeight="1"/>
    <row r="344" ht="14.1" customHeight="1"/>
    <row r="345" ht="14.1" customHeight="1"/>
    <row r="346" ht="14.1" customHeight="1"/>
    <row r="347" ht="14.1" customHeight="1"/>
    <row r="348" ht="14.1" customHeight="1"/>
    <row r="349" ht="14.1" customHeight="1"/>
    <row r="350" ht="14.1" customHeight="1"/>
    <row r="351" ht="14.1" customHeight="1"/>
    <row r="352" ht="14.1" customHeight="1"/>
    <row r="353" ht="14.1" customHeight="1"/>
    <row r="354" ht="14.1" customHeight="1"/>
    <row r="355" ht="14.1" customHeight="1"/>
    <row r="356" ht="14.1" customHeight="1"/>
    <row r="357" ht="14.1" customHeight="1"/>
    <row r="358" ht="14.1" customHeight="1"/>
    <row r="359" ht="14.1" customHeight="1"/>
    <row r="360" ht="14.1" customHeight="1"/>
    <row r="361" ht="14.1" customHeight="1"/>
    <row r="362" ht="14.1" customHeight="1"/>
    <row r="363" ht="14.1" customHeight="1"/>
    <row r="364" ht="14.1" customHeight="1"/>
    <row r="365" ht="14.1" customHeight="1"/>
    <row r="366" ht="14.1" customHeight="1"/>
    <row r="367" ht="14.1" customHeight="1"/>
    <row r="368" ht="14.1" customHeight="1"/>
    <row r="369" ht="14.1" customHeight="1"/>
    <row r="370" ht="14.1" customHeight="1"/>
    <row r="371" ht="14.1" customHeight="1"/>
    <row r="372" ht="14.1" customHeight="1"/>
    <row r="373" ht="14.1" customHeight="1"/>
    <row r="374" ht="14.1" customHeight="1"/>
    <row r="375" ht="14.1" customHeight="1"/>
    <row r="376" ht="14.1" customHeight="1"/>
    <row r="377" ht="14.1" customHeight="1"/>
    <row r="378" ht="14.1" customHeight="1"/>
    <row r="379" ht="14.1" customHeight="1"/>
    <row r="380" ht="14.1" customHeight="1"/>
    <row r="381" ht="14.1" customHeight="1"/>
    <row r="382" ht="14.1" customHeight="1"/>
    <row r="383" ht="14.1" customHeight="1"/>
    <row r="384" ht="14.1" customHeight="1"/>
    <row r="385" ht="14.1" customHeight="1"/>
    <row r="386" ht="14.1" customHeight="1"/>
    <row r="387" ht="14.1" customHeight="1"/>
    <row r="388" ht="14.1" customHeight="1"/>
    <row r="389" ht="14.1" customHeight="1"/>
    <row r="390" ht="14.1" customHeight="1"/>
    <row r="391" ht="14.1" customHeight="1"/>
    <row r="392" ht="14.1" customHeight="1"/>
    <row r="393" ht="14.1" customHeight="1"/>
    <row r="394" ht="14.1" customHeight="1"/>
    <row r="395" ht="14.1" customHeight="1"/>
    <row r="396" ht="14.1" customHeight="1"/>
    <row r="397" ht="14.1" customHeight="1"/>
    <row r="398" ht="14.1" customHeight="1"/>
    <row r="399" ht="14.1" customHeight="1"/>
    <row r="400" ht="14.1" customHeight="1"/>
    <row r="401" ht="14.1" customHeight="1"/>
    <row r="402" ht="14.1" customHeight="1"/>
    <row r="403" ht="14.1" customHeight="1"/>
    <row r="404" ht="14.1" customHeight="1"/>
    <row r="405" ht="14.1" customHeight="1"/>
    <row r="406" ht="14.1" customHeight="1"/>
    <row r="407" ht="14.1" customHeight="1"/>
    <row r="408" ht="14.1" customHeight="1"/>
    <row r="409" ht="14.1" customHeight="1"/>
    <row r="410" ht="14.1" customHeight="1"/>
    <row r="411" ht="14.1" customHeight="1"/>
    <row r="412" ht="14.1" customHeight="1"/>
    <row r="413" ht="14.1" customHeight="1"/>
    <row r="414" ht="14.1" customHeight="1"/>
    <row r="415" ht="14.1" customHeight="1"/>
    <row r="416" ht="14.1" customHeight="1"/>
    <row r="417" ht="14.1" customHeight="1"/>
    <row r="418" ht="14.1" customHeight="1"/>
    <row r="419" ht="14.1" customHeight="1"/>
    <row r="420" ht="14.1" customHeight="1"/>
    <row r="421" ht="14.1" customHeight="1"/>
    <row r="422" ht="14.1" customHeight="1"/>
    <row r="423" ht="14.1" customHeight="1"/>
    <row r="424" ht="14.1" customHeight="1"/>
    <row r="425" ht="14.1" customHeight="1"/>
    <row r="426" ht="14.1" customHeight="1"/>
    <row r="427" ht="14.1" customHeight="1"/>
    <row r="428" ht="14.1" customHeight="1"/>
    <row r="429" ht="14.1" customHeight="1"/>
    <row r="430" ht="14.1" customHeight="1"/>
    <row r="431" ht="14.1" customHeight="1"/>
    <row r="432" ht="14.1" customHeight="1"/>
    <row r="433" ht="14.1" customHeight="1"/>
    <row r="434" ht="14.1" customHeight="1"/>
    <row r="435" ht="14.1" customHeight="1"/>
    <row r="436" ht="14.1" customHeight="1"/>
    <row r="437" ht="14.1" customHeight="1"/>
    <row r="438" ht="14.1" customHeight="1"/>
    <row r="439" ht="14.1" customHeight="1"/>
    <row r="440" ht="14.1" customHeight="1"/>
    <row r="441" ht="14.1" customHeight="1"/>
    <row r="442" ht="14.1" customHeight="1"/>
    <row r="443" ht="14.1" customHeight="1"/>
    <row r="444" ht="14.1" customHeight="1"/>
    <row r="445" ht="14.1" customHeight="1"/>
    <row r="446" ht="14.1" customHeight="1"/>
    <row r="447" ht="14.1" customHeight="1"/>
    <row r="448" ht="14.1" customHeight="1"/>
    <row r="449" ht="14.1" customHeight="1"/>
    <row r="450" ht="14.1" customHeight="1"/>
    <row r="451" ht="14.1" customHeight="1"/>
    <row r="452" ht="14.1" customHeight="1"/>
    <row r="453" ht="14.1" customHeight="1"/>
    <row r="454" ht="14.1" customHeight="1"/>
    <row r="455" ht="14.1" customHeight="1"/>
    <row r="456" ht="14.1" customHeight="1"/>
    <row r="457" ht="14.1" customHeight="1"/>
    <row r="458" ht="14.1" customHeight="1"/>
    <row r="459" ht="14.1" customHeight="1"/>
    <row r="460" ht="14.1" customHeight="1"/>
    <row r="461" ht="14.1" customHeight="1"/>
    <row r="462" ht="14.1" customHeight="1"/>
    <row r="463" ht="14.1" customHeight="1"/>
    <row r="464" ht="14.1" customHeight="1"/>
    <row r="465" ht="14.1" customHeight="1"/>
    <row r="466" ht="14.1" customHeight="1"/>
    <row r="467" ht="14.1" customHeight="1"/>
    <row r="468" ht="14.1" customHeight="1"/>
    <row r="469" ht="14.1" customHeight="1"/>
    <row r="470" ht="14.1" customHeight="1"/>
    <row r="471" ht="14.1" customHeight="1"/>
    <row r="472" ht="14.1" customHeight="1"/>
    <row r="473" ht="14.1" customHeight="1"/>
    <row r="474" ht="14.1" customHeight="1"/>
    <row r="475" ht="14.1" customHeight="1"/>
    <row r="476" ht="14.1" customHeight="1"/>
    <row r="477" ht="14.1" customHeight="1"/>
    <row r="478" ht="14.1" customHeight="1"/>
    <row r="479" ht="14.1" customHeight="1"/>
    <row r="480" ht="14.1" customHeight="1"/>
    <row r="481" ht="14.1" customHeight="1"/>
    <row r="482" ht="14.1" customHeight="1"/>
    <row r="483" ht="14.1" customHeight="1"/>
    <row r="484" ht="14.1" customHeight="1"/>
    <row r="485" ht="14.1" customHeight="1"/>
    <row r="486" ht="14.1" customHeight="1"/>
    <row r="487" ht="14.1" customHeight="1"/>
    <row r="488" ht="14.1" customHeight="1"/>
    <row r="489" ht="14.1" customHeight="1"/>
    <row r="490" ht="14.1" customHeight="1"/>
    <row r="491" ht="14.1" customHeight="1"/>
    <row r="492" ht="14.1" customHeight="1"/>
    <row r="493" ht="14.1" customHeight="1"/>
    <row r="494" ht="14.1" customHeight="1"/>
    <row r="495" ht="14.1" customHeight="1"/>
    <row r="496" ht="14.1" customHeight="1"/>
    <row r="497" ht="14.1" customHeight="1"/>
    <row r="498" ht="14.1" customHeight="1"/>
    <row r="499" ht="14.1" customHeight="1"/>
    <row r="500" ht="14.1" customHeight="1"/>
    <row r="501" ht="14.1" customHeight="1"/>
    <row r="502" ht="14.1" customHeight="1"/>
    <row r="503" ht="14.1" customHeight="1"/>
    <row r="504" ht="14.1" customHeight="1"/>
    <row r="505" ht="14.1" customHeight="1"/>
    <row r="506" ht="14.1" customHeight="1"/>
    <row r="507" ht="14.1" customHeight="1"/>
    <row r="508" ht="14.1" customHeight="1"/>
    <row r="509" ht="14.1" customHeight="1"/>
    <row r="510" ht="14.1" customHeight="1"/>
    <row r="511" ht="14.1" customHeight="1"/>
    <row r="512" ht="14.1" customHeight="1"/>
    <row r="513" ht="14.1" customHeight="1"/>
    <row r="514" ht="14.1" customHeight="1"/>
    <row r="515" ht="14.1" customHeight="1"/>
    <row r="516" ht="14.1" customHeight="1"/>
    <row r="517" ht="14.1" customHeight="1"/>
    <row r="518" ht="14.1" customHeight="1"/>
    <row r="519" ht="14.1" customHeight="1"/>
    <row r="520" ht="14.1" customHeight="1"/>
    <row r="521" ht="14.1" customHeight="1"/>
    <row r="522" ht="14.1" customHeight="1"/>
    <row r="523" ht="14.1" customHeight="1"/>
    <row r="524" ht="14.1" customHeight="1"/>
    <row r="525" ht="14.1" customHeight="1"/>
    <row r="526" ht="14.1" customHeight="1"/>
    <row r="527" ht="14.1" customHeight="1"/>
    <row r="528" ht="14.1" customHeight="1"/>
    <row r="529" ht="14.1" customHeight="1"/>
    <row r="530" ht="14.1" customHeight="1"/>
    <row r="531" ht="14.1" customHeight="1"/>
    <row r="532" ht="14.1" customHeight="1"/>
    <row r="533" ht="14.1" customHeight="1"/>
    <row r="534" ht="14.1" customHeight="1"/>
    <row r="535" ht="14.1" customHeight="1"/>
    <row r="536" ht="14.1" customHeight="1"/>
    <row r="537" ht="14.1" customHeight="1"/>
    <row r="538" ht="14.1" customHeight="1"/>
    <row r="539" ht="14.1" customHeight="1"/>
    <row r="540" ht="14.1" customHeight="1"/>
    <row r="541" ht="14.1" customHeight="1"/>
    <row r="542" ht="14.1" customHeight="1"/>
    <row r="543" ht="14.1" customHeight="1"/>
    <row r="544" ht="14.1" customHeight="1"/>
    <row r="545" ht="14.1" customHeight="1"/>
    <row r="546" ht="14.1" customHeight="1"/>
    <row r="547" ht="14.1" customHeight="1"/>
    <row r="548" ht="14.1" customHeight="1"/>
    <row r="549" ht="14.1" customHeight="1"/>
    <row r="550" ht="14.1" customHeight="1"/>
    <row r="551" ht="14.1" customHeight="1"/>
    <row r="552" ht="14.1" customHeight="1"/>
    <row r="553" ht="14.1" customHeight="1"/>
    <row r="554" ht="14.1" customHeight="1"/>
    <row r="555" ht="14.1" customHeight="1"/>
    <row r="556" ht="14.1" customHeight="1"/>
    <row r="557" ht="14.1" customHeight="1"/>
    <row r="558" ht="14.1" customHeight="1"/>
    <row r="559" ht="14.1" customHeight="1"/>
    <row r="560" ht="14.1" customHeight="1"/>
    <row r="561" ht="14.1" customHeight="1"/>
    <row r="562" ht="14.1" customHeight="1"/>
    <row r="563" ht="14.1" customHeight="1"/>
    <row r="564" ht="14.1" customHeight="1"/>
    <row r="565" ht="14.1" customHeight="1"/>
    <row r="566" ht="14.1" customHeight="1"/>
    <row r="567" ht="14.1" customHeight="1"/>
    <row r="568" ht="14.1" customHeight="1"/>
    <row r="569" ht="14.1" customHeight="1"/>
    <row r="570" ht="14.1" customHeight="1"/>
    <row r="571" ht="14.1" customHeight="1"/>
    <row r="572" ht="14.1" customHeight="1"/>
    <row r="573" ht="14.1" customHeight="1"/>
    <row r="574" ht="14.1" customHeight="1"/>
    <row r="575" ht="14.1" customHeight="1"/>
    <row r="576" ht="14.1" customHeight="1"/>
    <row r="577" ht="14.1" customHeight="1"/>
    <row r="578" ht="14.1" customHeight="1"/>
    <row r="579" ht="14.1" customHeight="1"/>
    <row r="580" ht="14.1" customHeight="1"/>
    <row r="581" ht="14.1" customHeight="1"/>
    <row r="582" ht="14.1" customHeight="1"/>
    <row r="583" ht="14.1" customHeight="1"/>
    <row r="584" ht="14.1" customHeight="1"/>
    <row r="585" ht="14.1" customHeight="1"/>
    <row r="586" ht="14.1" customHeight="1"/>
    <row r="587" ht="14.1" customHeight="1"/>
    <row r="588" ht="14.1" customHeight="1"/>
    <row r="589" ht="14.1" customHeight="1"/>
    <row r="590" ht="14.1" customHeight="1"/>
    <row r="591" ht="14.1" customHeight="1"/>
    <row r="592" ht="14.1" customHeight="1"/>
    <row r="593" ht="14.1" customHeight="1"/>
    <row r="594" ht="14.1" customHeight="1"/>
    <row r="595" ht="14.1" customHeight="1"/>
    <row r="596" ht="14.1" customHeight="1"/>
    <row r="597" ht="14.1" customHeight="1"/>
    <row r="598" ht="14.1" customHeight="1"/>
    <row r="599" ht="14.1" customHeight="1"/>
    <row r="600" ht="14.1" customHeight="1"/>
    <row r="601" ht="14.1" customHeight="1"/>
    <row r="602" ht="14.1" customHeight="1"/>
    <row r="603" ht="14.1" customHeight="1"/>
    <row r="604" ht="14.1" customHeight="1"/>
    <row r="605" ht="14.1" customHeight="1"/>
    <row r="606" ht="14.1" customHeight="1"/>
    <row r="607" ht="14.1" customHeight="1"/>
    <row r="608" ht="14.1" customHeight="1"/>
    <row r="609" ht="14.1" customHeight="1"/>
    <row r="610" ht="14.1" customHeight="1"/>
    <row r="611" ht="14.1" customHeight="1"/>
    <row r="612" ht="14.1" customHeight="1"/>
    <row r="613" ht="14.1" customHeight="1"/>
    <row r="614" ht="14.1" customHeight="1"/>
    <row r="615" ht="14.1" customHeight="1"/>
    <row r="616" ht="14.1" customHeight="1"/>
    <row r="617" ht="14.1" customHeight="1"/>
    <row r="618" ht="14.1" customHeight="1"/>
    <row r="619" ht="14.1" customHeight="1"/>
    <row r="620" ht="14.1" customHeight="1"/>
    <row r="621" ht="14.1" customHeight="1"/>
    <row r="622" ht="14.1" customHeight="1"/>
    <row r="623" ht="14.1" customHeight="1"/>
    <row r="624" ht="14.1" customHeight="1"/>
    <row r="625" ht="14.1" customHeight="1"/>
    <row r="626" ht="14.1" customHeight="1"/>
    <row r="627" ht="14.1" customHeight="1"/>
    <row r="628" ht="14.1" customHeight="1"/>
    <row r="629" ht="14.1" customHeight="1"/>
    <row r="630" ht="14.1" customHeight="1"/>
    <row r="631" ht="14.1" customHeight="1"/>
    <row r="632" ht="14.1" customHeight="1"/>
    <row r="633" ht="14.1" customHeight="1"/>
    <row r="634" ht="14.1" customHeight="1"/>
    <row r="635" ht="14.1" customHeight="1"/>
    <row r="636" ht="14.1" customHeight="1"/>
    <row r="637" ht="14.1" customHeight="1"/>
    <row r="638" ht="14.1" customHeight="1"/>
    <row r="639" ht="14.1" customHeight="1"/>
    <row r="640" ht="14.1" customHeight="1"/>
    <row r="641" ht="14.1" customHeight="1"/>
    <row r="642" ht="14.1" customHeight="1"/>
    <row r="643" ht="14.1" customHeight="1"/>
    <row r="644" ht="14.1" customHeight="1"/>
    <row r="645" ht="14.1" customHeight="1"/>
    <row r="646" ht="14.1" customHeight="1"/>
    <row r="647" ht="14.1" customHeight="1"/>
    <row r="648" ht="14.1" customHeight="1"/>
    <row r="649" ht="14.1" customHeight="1"/>
    <row r="650" ht="14.1" customHeight="1"/>
    <row r="651" ht="14.1" customHeight="1"/>
    <row r="652" ht="14.1" customHeight="1"/>
    <row r="653" ht="14.1" customHeight="1"/>
    <row r="654" ht="14.1" customHeight="1"/>
    <row r="655" ht="14.1" customHeight="1"/>
    <row r="656" ht="14.1" customHeight="1"/>
    <row r="657" ht="14.1" customHeight="1"/>
    <row r="658" ht="14.1" customHeight="1"/>
    <row r="659" ht="14.1" customHeight="1"/>
    <row r="660" ht="14.1" customHeight="1"/>
    <row r="661" ht="14.1" customHeight="1"/>
    <row r="662" ht="14.1" customHeight="1"/>
    <row r="663" ht="14.1" customHeight="1"/>
    <row r="664" ht="14.1" customHeight="1"/>
    <row r="665" ht="14.1" customHeight="1"/>
    <row r="666" ht="14.1" customHeight="1"/>
    <row r="667" ht="14.1" customHeight="1"/>
    <row r="668" ht="14.1" customHeight="1"/>
    <row r="669" ht="14.1" customHeight="1"/>
    <row r="670" ht="14.1" customHeight="1"/>
    <row r="671" ht="14.1" customHeight="1"/>
    <row r="672" ht="14.1" customHeight="1"/>
    <row r="673" ht="14.1" customHeight="1"/>
    <row r="674" ht="14.1" customHeight="1"/>
    <row r="675" ht="14.1" customHeight="1"/>
    <row r="676" ht="14.1" customHeight="1"/>
    <row r="677" ht="14.1" customHeight="1"/>
    <row r="678" ht="14.1" customHeight="1"/>
    <row r="679" ht="14.1" customHeight="1"/>
    <row r="680" ht="14.1" customHeight="1"/>
    <row r="681" ht="14.1" customHeight="1"/>
    <row r="682" ht="14.1" customHeight="1"/>
    <row r="683" ht="14.1" customHeight="1"/>
    <row r="684" ht="14.1" customHeight="1"/>
    <row r="685" ht="14.1" customHeight="1"/>
    <row r="686" ht="14.1" customHeight="1"/>
    <row r="687" ht="14.1" customHeight="1"/>
    <row r="688" ht="14.1" customHeight="1"/>
    <row r="689" ht="14.1" customHeight="1"/>
    <row r="690" ht="14.1" customHeight="1"/>
    <row r="691" ht="14.1" customHeight="1"/>
    <row r="692" ht="14.1" customHeight="1"/>
    <row r="693" ht="14.1" customHeight="1"/>
    <row r="694" ht="14.1" customHeight="1"/>
    <row r="695" ht="14.1" customHeight="1"/>
    <row r="696" ht="14.1" customHeight="1"/>
    <row r="697" ht="14.1" customHeight="1"/>
    <row r="698" ht="14.1" customHeight="1"/>
    <row r="699" ht="14.1" customHeight="1"/>
    <row r="700" ht="14.1" customHeight="1"/>
    <row r="701" ht="14.1" customHeight="1"/>
    <row r="702" ht="14.1" customHeight="1"/>
    <row r="703" ht="14.1" customHeight="1"/>
    <row r="704" ht="14.1" customHeight="1"/>
    <row r="705" ht="14.1" customHeight="1"/>
    <row r="706" ht="14.1" customHeight="1"/>
    <row r="707" ht="14.1" customHeight="1"/>
    <row r="708" ht="14.1" customHeight="1"/>
    <row r="709" ht="14.1" customHeight="1"/>
    <row r="710" ht="14.1" customHeight="1"/>
    <row r="711" ht="14.1" customHeight="1"/>
    <row r="712" ht="14.1" customHeight="1"/>
    <row r="713" ht="14.1" customHeight="1"/>
    <row r="714" ht="14.1" customHeight="1"/>
    <row r="715" ht="14.1" customHeight="1"/>
    <row r="716" ht="14.1" customHeight="1"/>
    <row r="717" ht="14.1" customHeight="1"/>
    <row r="718" ht="14.1" customHeight="1"/>
    <row r="719" ht="14.1" customHeight="1"/>
    <row r="720" ht="14.1" customHeight="1"/>
    <row r="721" ht="14.1" customHeight="1"/>
    <row r="722" ht="14.1" customHeight="1"/>
    <row r="723" ht="14.1" customHeight="1"/>
    <row r="724" ht="14.1" customHeight="1"/>
    <row r="725" ht="14.1" customHeight="1"/>
    <row r="726" ht="14.1" customHeight="1"/>
    <row r="727" ht="14.1" customHeight="1"/>
    <row r="728" ht="14.1" customHeight="1"/>
    <row r="729" ht="14.1" customHeight="1"/>
    <row r="730" ht="14.1" customHeight="1"/>
    <row r="731" ht="14.1" customHeight="1"/>
    <row r="732" ht="14.1" customHeight="1"/>
    <row r="733" ht="14.1" customHeight="1"/>
    <row r="734" ht="14.1" customHeight="1"/>
    <row r="735" ht="14.1" customHeight="1"/>
    <row r="736" ht="14.1" customHeight="1"/>
    <row r="737" ht="14.1" customHeight="1"/>
    <row r="738" ht="14.1" customHeight="1"/>
    <row r="739" ht="14.1" customHeight="1"/>
    <row r="740" ht="14.1" customHeight="1"/>
    <row r="741" ht="14.1" customHeight="1"/>
    <row r="742" ht="14.1" customHeight="1"/>
    <row r="743" ht="14.1" customHeight="1"/>
    <row r="744" ht="14.1" customHeight="1"/>
    <row r="745" ht="14.1" customHeight="1"/>
    <row r="746" ht="14.1" customHeight="1"/>
    <row r="747" ht="14.1" customHeight="1"/>
    <row r="748" ht="14.1" customHeight="1"/>
    <row r="749" ht="14.1" customHeight="1"/>
    <row r="750" ht="14.1" customHeight="1"/>
    <row r="751" ht="14.1" customHeight="1"/>
    <row r="752" ht="14.1" customHeight="1"/>
    <row r="753" ht="14.1" customHeight="1"/>
    <row r="754" ht="14.1" customHeight="1"/>
    <row r="755" ht="14.1" customHeight="1"/>
    <row r="756" ht="14.1" customHeight="1"/>
    <row r="757" ht="14.1" customHeight="1"/>
    <row r="758" ht="14.1" customHeight="1"/>
    <row r="759" ht="14.1" customHeight="1"/>
    <row r="760" ht="14.1" customHeight="1"/>
    <row r="761" ht="14.1" customHeight="1"/>
    <row r="762" ht="14.1" customHeight="1"/>
    <row r="763" ht="14.1" customHeight="1"/>
    <row r="764" ht="14.1" customHeight="1"/>
    <row r="765" ht="14.1" customHeight="1"/>
    <row r="766" ht="14.1" customHeight="1"/>
    <row r="767" ht="14.1" customHeight="1"/>
    <row r="768" ht="14.1" customHeight="1"/>
    <row r="769" ht="14.1" customHeight="1"/>
    <row r="770" ht="14.1" customHeight="1"/>
    <row r="771" ht="14.1" customHeight="1"/>
    <row r="772" ht="14.1" customHeight="1"/>
    <row r="773" ht="14.1" customHeight="1"/>
    <row r="774" ht="14.1" customHeight="1"/>
    <row r="775" ht="14.1" customHeight="1"/>
    <row r="776" ht="14.1" customHeight="1"/>
    <row r="777" ht="14.1" customHeight="1"/>
    <row r="778" ht="14.1" customHeight="1"/>
    <row r="779" ht="14.1" customHeight="1"/>
    <row r="780" ht="14.1" customHeight="1"/>
    <row r="781" ht="14.1" customHeight="1"/>
    <row r="782" ht="14.1" customHeight="1"/>
    <row r="783" ht="14.1" customHeight="1"/>
    <row r="784" ht="14.1" customHeight="1"/>
    <row r="785" ht="14.1" customHeight="1"/>
    <row r="786" ht="14.1" customHeight="1"/>
    <row r="787" ht="14.1" customHeight="1"/>
    <row r="788" ht="14.1" customHeight="1"/>
    <row r="789" ht="14.1" customHeight="1"/>
    <row r="790" ht="14.1" customHeight="1"/>
    <row r="791" ht="14.1" customHeight="1"/>
    <row r="792" ht="14.1" customHeight="1"/>
    <row r="793" ht="14.1" customHeight="1"/>
    <row r="794" ht="14.1" customHeight="1"/>
    <row r="795" ht="14.1" customHeight="1"/>
    <row r="796" ht="14.1" customHeight="1"/>
    <row r="797" ht="14.1" customHeight="1"/>
    <row r="798" ht="14.1" customHeight="1"/>
    <row r="799" ht="14.1" customHeight="1"/>
    <row r="800" ht="14.1" customHeight="1"/>
    <row r="801" ht="14.1" customHeight="1"/>
    <row r="802" ht="14.1" customHeight="1"/>
    <row r="803" ht="14.1" customHeight="1"/>
    <row r="804" ht="14.1" customHeight="1"/>
    <row r="805" ht="14.1" customHeight="1"/>
    <row r="806" ht="14.1" customHeight="1"/>
    <row r="807" ht="14.1" customHeight="1"/>
    <row r="808" ht="14.1" customHeight="1"/>
    <row r="809" ht="14.1" customHeight="1"/>
    <row r="810" ht="14.1" customHeight="1"/>
    <row r="811" ht="14.1" customHeight="1"/>
    <row r="812" ht="14.1" customHeight="1"/>
    <row r="813" ht="14.1" customHeight="1"/>
    <row r="814" ht="14.1" customHeight="1"/>
    <row r="815" ht="14.1" customHeight="1"/>
    <row r="816" ht="14.1" customHeight="1"/>
    <row r="817" ht="14.1" customHeight="1"/>
    <row r="818" ht="14.1" customHeight="1"/>
    <row r="819" ht="14.1" customHeight="1"/>
    <row r="820" ht="14.1" customHeight="1"/>
    <row r="821" ht="14.1" customHeight="1"/>
    <row r="822" ht="14.1" customHeight="1"/>
    <row r="823" ht="14.1" customHeight="1"/>
    <row r="824" ht="14.1" customHeight="1"/>
    <row r="825" ht="14.1" customHeight="1"/>
    <row r="826" ht="14.1" customHeight="1"/>
    <row r="827" ht="14.1" customHeight="1"/>
    <row r="828" ht="14.1" customHeight="1"/>
    <row r="829" ht="14.1" customHeight="1"/>
    <row r="830" ht="14.1" customHeight="1"/>
    <row r="831" ht="14.1" customHeight="1"/>
    <row r="832" ht="14.1" customHeight="1"/>
    <row r="833" ht="14.1" customHeight="1"/>
    <row r="834" ht="14.1" customHeight="1"/>
    <row r="835" ht="14.1" customHeight="1"/>
    <row r="836" ht="14.1" customHeight="1"/>
    <row r="837" ht="14.1" customHeight="1"/>
    <row r="838" ht="14.1" customHeight="1"/>
    <row r="839" ht="14.1" customHeight="1"/>
    <row r="840" ht="14.1" customHeight="1"/>
    <row r="841" ht="14.1" customHeight="1"/>
    <row r="842" ht="14.1" customHeight="1"/>
    <row r="843" ht="14.1" customHeight="1"/>
    <row r="844" ht="14.1" customHeight="1"/>
    <row r="845" ht="14.1" customHeight="1"/>
    <row r="846" ht="14.1" customHeight="1"/>
    <row r="847" ht="14.1" customHeight="1"/>
    <row r="848" ht="14.1" customHeight="1"/>
    <row r="849" ht="14.1" customHeight="1"/>
    <row r="850" ht="14.1" customHeight="1"/>
    <row r="851" ht="14.1" customHeight="1"/>
    <row r="852" ht="14.1" customHeight="1"/>
    <row r="853" ht="14.1" customHeight="1"/>
    <row r="854" ht="14.1" customHeight="1"/>
    <row r="855" ht="14.1" customHeight="1"/>
    <row r="856" ht="14.1" customHeight="1"/>
    <row r="857" ht="14.1" customHeight="1"/>
    <row r="858" ht="14.1" customHeight="1"/>
    <row r="859" ht="14.1" customHeight="1"/>
    <row r="860" ht="14.1" customHeight="1"/>
    <row r="861" ht="14.1" customHeight="1"/>
    <row r="862" ht="14.1" customHeight="1"/>
    <row r="863" ht="14.1" customHeight="1"/>
    <row r="864" ht="14.1" customHeight="1"/>
    <row r="865" ht="14.1" customHeight="1"/>
    <row r="866" ht="14.1" customHeight="1"/>
    <row r="867" ht="14.1" customHeight="1"/>
    <row r="868" ht="14.1" customHeight="1"/>
    <row r="869" ht="14.1" customHeight="1"/>
    <row r="870" ht="14.1" customHeight="1"/>
    <row r="871" ht="14.1" customHeight="1"/>
    <row r="872" ht="14.1" customHeight="1"/>
    <row r="873" ht="14.1" customHeight="1"/>
    <row r="874" ht="14.1" customHeight="1"/>
    <row r="875" ht="14.1" customHeight="1"/>
    <row r="876" ht="14.1" customHeight="1"/>
    <row r="877" ht="14.1" customHeight="1"/>
    <row r="878" ht="14.1" customHeight="1"/>
    <row r="879" ht="14.1" customHeight="1"/>
    <row r="880" ht="14.1" customHeight="1"/>
    <row r="881" ht="14.1" customHeight="1"/>
    <row r="882" ht="14.1" customHeight="1"/>
    <row r="883" ht="14.1" customHeight="1"/>
    <row r="884" ht="14.1" customHeight="1"/>
    <row r="885" ht="14.1" customHeight="1"/>
    <row r="886" ht="14.1" customHeight="1"/>
    <row r="887" ht="14.1" customHeight="1"/>
    <row r="888" ht="14.1" customHeight="1"/>
    <row r="889" ht="14.1" customHeight="1"/>
    <row r="890" ht="14.1" customHeight="1"/>
    <row r="891" ht="14.1" customHeight="1"/>
    <row r="892" ht="14.1" customHeight="1"/>
    <row r="893" ht="14.1" customHeight="1"/>
    <row r="894" ht="14.1" customHeight="1"/>
    <row r="895" ht="14.1" customHeight="1"/>
    <row r="896" ht="14.1" customHeight="1"/>
    <row r="897" ht="14.1" customHeight="1"/>
    <row r="898" ht="14.1" customHeight="1"/>
    <row r="899" ht="14.1" customHeight="1"/>
    <row r="900" ht="14.1" customHeight="1"/>
    <row r="901" ht="14.1" customHeight="1"/>
    <row r="902" ht="14.1" customHeight="1"/>
    <row r="903" ht="14.1" customHeight="1"/>
    <row r="904" ht="14.1" customHeight="1"/>
    <row r="905" ht="14.1" customHeight="1"/>
    <row r="906" ht="14.1" customHeight="1"/>
    <row r="907" ht="14.1" customHeight="1"/>
    <row r="908" ht="14.1" customHeight="1"/>
    <row r="909" ht="14.1" customHeight="1"/>
    <row r="910" ht="14.1" customHeight="1"/>
    <row r="911" ht="14.1" customHeight="1"/>
    <row r="912" ht="14.1" customHeight="1"/>
    <row r="913" ht="14.1" customHeight="1"/>
    <row r="914" ht="14.1" customHeight="1"/>
    <row r="915" ht="14.1" customHeight="1"/>
    <row r="916" ht="14.1" customHeight="1"/>
    <row r="917" ht="14.1" customHeight="1"/>
    <row r="918" ht="14.1" customHeight="1"/>
    <row r="919" ht="14.1" customHeight="1"/>
    <row r="920" ht="14.1" customHeight="1"/>
    <row r="921" ht="14.1" customHeight="1"/>
    <row r="922" ht="14.1" customHeight="1"/>
    <row r="923" ht="14.1" customHeight="1"/>
    <row r="924" ht="14.1" customHeight="1"/>
    <row r="925" ht="14.1" customHeight="1"/>
    <row r="926" ht="14.1" customHeight="1"/>
    <row r="927" ht="14.1" customHeight="1"/>
    <row r="928" ht="14.1" customHeight="1"/>
    <row r="929" ht="14.1" customHeight="1"/>
    <row r="930" ht="14.1" customHeight="1"/>
    <row r="931" ht="14.1" customHeight="1"/>
    <row r="932" ht="14.1" customHeight="1"/>
    <row r="933" ht="14.1" customHeight="1"/>
    <row r="934" ht="14.1" customHeight="1"/>
    <row r="935" ht="14.1" customHeight="1"/>
    <row r="936" ht="14.1" customHeight="1"/>
    <row r="937" ht="14.1" customHeight="1"/>
    <row r="938" ht="14.1" customHeight="1"/>
    <row r="939" ht="14.1" customHeight="1"/>
    <row r="940" ht="14.1" customHeight="1"/>
    <row r="941" ht="14.1" customHeight="1"/>
    <row r="942" ht="14.1" customHeight="1"/>
    <row r="943" ht="14.1" customHeight="1"/>
    <row r="944" ht="14.1" customHeight="1"/>
    <row r="945" ht="14.1" customHeight="1"/>
    <row r="946" ht="14.1" customHeight="1"/>
    <row r="947" ht="14.1" customHeight="1"/>
    <row r="948" ht="14.1" customHeight="1"/>
    <row r="949" ht="14.1" customHeight="1"/>
    <row r="950" ht="14.1" customHeight="1"/>
    <row r="951" ht="14.1" customHeight="1"/>
    <row r="952" ht="14.1" customHeight="1"/>
    <row r="953" ht="14.1" customHeight="1"/>
    <row r="954" ht="14.1" customHeight="1"/>
    <row r="955" ht="14.1" customHeight="1"/>
    <row r="956" ht="14.1" customHeight="1"/>
    <row r="957" ht="14.1" customHeight="1"/>
    <row r="958" ht="14.1" customHeight="1"/>
    <row r="959" ht="14.1" customHeight="1"/>
    <row r="960" ht="14.1" customHeight="1"/>
    <row r="961" ht="14.1" customHeight="1"/>
    <row r="962" ht="14.1" customHeight="1"/>
    <row r="963" ht="14.1" customHeight="1"/>
    <row r="964" ht="14.1" customHeight="1"/>
    <row r="965" ht="14.1" customHeight="1"/>
    <row r="966" ht="14.1" customHeight="1"/>
    <row r="967" ht="14.1" customHeight="1"/>
    <row r="968" ht="14.1" customHeight="1"/>
    <row r="969" ht="14.1" customHeight="1"/>
    <row r="970" ht="14.1" customHeight="1"/>
    <row r="971" ht="14.1" customHeight="1"/>
    <row r="972" ht="14.1" customHeight="1"/>
    <row r="973" ht="14.1" customHeight="1"/>
    <row r="974" ht="14.1" customHeight="1"/>
    <row r="975" ht="14.1" customHeight="1"/>
    <row r="976" ht="14.1" customHeight="1"/>
    <row r="977" ht="14.1" customHeight="1"/>
    <row r="978" ht="14.1" customHeight="1"/>
    <row r="979" ht="14.1" customHeight="1"/>
    <row r="980" ht="14.1" customHeight="1"/>
    <row r="981" ht="14.1" customHeight="1"/>
    <row r="982" ht="14.1" customHeight="1"/>
    <row r="983" ht="14.1" customHeight="1"/>
    <row r="984" ht="14.1" customHeight="1"/>
    <row r="985" ht="14.1" customHeight="1"/>
    <row r="986" ht="14.1" customHeight="1"/>
    <row r="987" ht="14.1" customHeight="1"/>
    <row r="988" ht="14.1" customHeight="1"/>
    <row r="989" ht="14.1" customHeight="1"/>
    <row r="990" ht="14.1" customHeight="1"/>
    <row r="991" ht="14.1" customHeight="1"/>
    <row r="992" ht="14.1" customHeight="1"/>
    <row r="993" ht="14.1" customHeight="1"/>
    <row r="994" ht="14.1" customHeight="1"/>
    <row r="995" ht="14.1" customHeight="1"/>
    <row r="996" ht="14.1" customHeight="1"/>
    <row r="997" ht="14.1" customHeight="1"/>
    <row r="998" ht="14.1" customHeight="1"/>
    <row r="999" ht="14.1" customHeight="1"/>
    <row r="1000" ht="14.1" customHeight="1"/>
    <row r="1001" ht="14.1" customHeight="1"/>
    <row r="1002" ht="14.1" customHeight="1"/>
    <row r="1003" ht="14.1" customHeight="1"/>
    <row r="1004" ht="14.1" customHeight="1"/>
    <row r="1005" ht="14.1" customHeight="1"/>
    <row r="1006" ht="14.1" customHeight="1"/>
    <row r="1007" ht="14.1" customHeight="1"/>
    <row r="1008" ht="14.1" customHeight="1"/>
    <row r="1009" ht="14.1" customHeight="1"/>
    <row r="1010" ht="14.1" customHeight="1"/>
    <row r="1011" ht="14.1" customHeight="1"/>
    <row r="1012" ht="14.1" customHeight="1"/>
    <row r="1013" ht="14.1" customHeight="1"/>
    <row r="1014" ht="14.1" customHeight="1"/>
    <row r="1015" ht="14.1" customHeight="1"/>
    <row r="1016" ht="14.1" customHeight="1"/>
    <row r="1017" ht="14.1" customHeight="1"/>
    <row r="1018" ht="14.1" customHeight="1"/>
    <row r="1019" ht="14.1" customHeight="1"/>
    <row r="1020" ht="14.1" customHeight="1"/>
    <row r="1021" ht="14.1" customHeight="1"/>
    <row r="1022" ht="14.1" customHeight="1"/>
    <row r="1023" ht="14.1" customHeight="1"/>
    <row r="1024" ht="14.1" customHeight="1"/>
    <row r="1025" ht="14.1" customHeight="1"/>
    <row r="1026" ht="14.1" customHeight="1"/>
    <row r="1027" ht="14.1" customHeight="1"/>
    <row r="1028" ht="14.1" customHeight="1"/>
    <row r="1029" ht="14.1" customHeight="1"/>
    <row r="1030" ht="14.1" customHeight="1"/>
    <row r="1031" ht="14.1" customHeight="1"/>
    <row r="1032" ht="14.1" customHeight="1"/>
    <row r="1033" ht="14.1" customHeight="1"/>
    <row r="1034" ht="14.1" customHeight="1"/>
    <row r="1035" ht="14.1" customHeight="1"/>
    <row r="1036" ht="14.1" customHeight="1"/>
    <row r="1037" ht="14.1" customHeight="1"/>
    <row r="1038" ht="14.1" customHeight="1"/>
    <row r="1039" ht="14.1" customHeight="1"/>
    <row r="1040" ht="14.1" customHeight="1"/>
    <row r="1041" ht="14.1" customHeight="1"/>
    <row r="1042" ht="14.1" customHeight="1"/>
    <row r="1043" ht="14.1" customHeight="1"/>
    <row r="1044" ht="14.1" customHeight="1"/>
    <row r="1045" ht="14.1" customHeight="1"/>
    <row r="1046" ht="14.1" customHeight="1"/>
    <row r="1047" ht="14.1" customHeight="1"/>
    <row r="1048" ht="14.1" customHeight="1"/>
    <row r="1049" ht="14.1" customHeight="1"/>
    <row r="1050" ht="14.1" customHeight="1"/>
    <row r="1051" ht="14.1" customHeight="1"/>
    <row r="1052" ht="14.1" customHeight="1"/>
    <row r="1053" ht="14.1" customHeight="1"/>
    <row r="1054" ht="14.1" customHeight="1"/>
    <row r="1055" ht="14.1" customHeight="1"/>
    <row r="1056" ht="14.1" customHeight="1"/>
    <row r="1057" ht="14.1" customHeight="1"/>
    <row r="1058" ht="14.1" customHeight="1"/>
    <row r="1059" ht="14.1" customHeight="1"/>
    <row r="1060" ht="14.1" customHeight="1"/>
    <row r="1061" ht="14.1" customHeight="1"/>
    <row r="1062" ht="14.1" customHeight="1"/>
    <row r="1063" ht="14.1" customHeight="1"/>
    <row r="1064" ht="14.1" customHeight="1"/>
    <row r="1065" ht="14.1" customHeight="1"/>
    <row r="1066" ht="14.1" customHeight="1"/>
    <row r="1067" ht="14.1" customHeight="1"/>
    <row r="1068" ht="14.1" customHeight="1"/>
    <row r="1069" ht="14.1" customHeight="1"/>
    <row r="1070" ht="14.1" customHeight="1"/>
    <row r="1071" ht="14.1" customHeight="1"/>
    <row r="1072" ht="14.1" customHeight="1"/>
    <row r="1073" ht="14.1" customHeight="1"/>
    <row r="1074" ht="14.1" customHeight="1"/>
    <row r="1075" ht="14.1" customHeight="1"/>
    <row r="1076" ht="14.1" customHeight="1"/>
    <row r="1077" ht="14.1" customHeight="1"/>
    <row r="1078" ht="14.1" customHeight="1"/>
    <row r="1079" ht="14.1" customHeight="1"/>
    <row r="1080" ht="14.1" customHeight="1"/>
    <row r="1081" ht="14.1" customHeight="1"/>
    <row r="1082" ht="14.1" customHeight="1"/>
    <row r="1083" ht="14.1" customHeight="1"/>
    <row r="1084" ht="14.1" customHeight="1"/>
    <row r="1085" ht="14.1" customHeight="1"/>
    <row r="1086" ht="14.1" customHeight="1"/>
    <row r="1087" ht="14.1" customHeight="1"/>
    <row r="1088" ht="14.1" customHeight="1"/>
    <row r="1089" ht="14.1" customHeight="1"/>
    <row r="1090" ht="14.1" customHeight="1"/>
    <row r="1091" ht="14.1" customHeight="1"/>
    <row r="1092" ht="14.1" customHeight="1"/>
    <row r="1093" ht="14.1" customHeight="1"/>
    <row r="1094" ht="14.1" customHeight="1"/>
    <row r="1095" ht="14.1" customHeight="1"/>
    <row r="1096" ht="14.1" customHeight="1"/>
    <row r="1097" ht="14.1" customHeight="1"/>
    <row r="1098" ht="14.1" customHeight="1"/>
    <row r="1099" ht="14.1" customHeight="1"/>
    <row r="1100" ht="14.1" customHeight="1"/>
    <row r="1101" ht="14.1" customHeight="1"/>
    <row r="1102" ht="14.1" customHeight="1"/>
    <row r="1103" ht="14.1" customHeight="1"/>
    <row r="1104" ht="14.1" customHeight="1"/>
    <row r="1105" ht="14.1" customHeight="1"/>
    <row r="1106" ht="14.1" customHeight="1"/>
    <row r="1107" ht="14.1" customHeight="1"/>
    <row r="1108" ht="14.1" customHeight="1"/>
    <row r="1109" ht="14.1" customHeight="1"/>
    <row r="1110" ht="14.1" customHeight="1"/>
    <row r="1111" ht="14.1" customHeight="1"/>
    <row r="1112" ht="14.1" customHeight="1"/>
    <row r="1113" ht="14.1" customHeight="1"/>
    <row r="1114" ht="14.1" customHeight="1"/>
    <row r="1115" ht="14.1" customHeight="1"/>
    <row r="1116" ht="14.1" customHeight="1"/>
    <row r="1117" ht="14.1" customHeight="1"/>
    <row r="1118" ht="14.1" customHeight="1"/>
    <row r="1119" ht="14.1" customHeight="1"/>
    <row r="1120" ht="14.1" customHeight="1"/>
    <row r="1121" ht="14.1" customHeight="1"/>
    <row r="1122" ht="14.1" customHeight="1"/>
    <row r="1123" ht="14.1" customHeight="1"/>
    <row r="1124" ht="14.1" customHeight="1"/>
    <row r="1125" ht="14.1" customHeight="1"/>
    <row r="1126" ht="14.1" customHeight="1"/>
    <row r="1127" ht="14.1" customHeight="1"/>
    <row r="1128" ht="14.1" customHeight="1"/>
    <row r="1129" ht="14.1" customHeight="1"/>
    <row r="1130" ht="14.1" customHeight="1"/>
    <row r="1131" ht="14.1" customHeight="1"/>
    <row r="1132" ht="14.1" customHeight="1"/>
    <row r="1133" ht="14.1" customHeight="1"/>
    <row r="1134" ht="14.1" customHeight="1"/>
    <row r="1135" ht="14.1" customHeight="1"/>
    <row r="1136" ht="14.1" customHeight="1"/>
    <row r="1137" ht="14.1" customHeight="1"/>
    <row r="1138" ht="14.1" customHeight="1"/>
    <row r="1139" ht="14.1" customHeight="1"/>
    <row r="1140" ht="14.1" customHeight="1"/>
    <row r="1141" ht="14.1" customHeight="1"/>
    <row r="1142" ht="14.1" customHeight="1"/>
    <row r="1143" ht="14.1" customHeight="1"/>
    <row r="1144" ht="14.1" customHeight="1"/>
    <row r="1145" ht="14.1" customHeight="1"/>
    <row r="1146" ht="14.1" customHeight="1"/>
    <row r="1147" ht="14.1" customHeight="1"/>
    <row r="1148" ht="14.1" customHeight="1"/>
    <row r="1149" ht="14.1" customHeight="1"/>
    <row r="1150" ht="14.1" customHeight="1"/>
    <row r="1151" ht="14.1" customHeight="1"/>
    <row r="1152" ht="14.1" customHeight="1"/>
    <row r="1153" ht="14.1" customHeight="1"/>
    <row r="1154" ht="14.1" customHeight="1"/>
    <row r="1155" ht="14.1" customHeight="1"/>
    <row r="1156" ht="14.1" customHeight="1"/>
    <row r="1157" ht="14.1" customHeight="1"/>
    <row r="1158" ht="14.1" customHeight="1"/>
    <row r="1159" ht="14.1" customHeight="1"/>
    <row r="1160" ht="14.1" customHeight="1"/>
    <row r="1161" ht="14.1" customHeight="1"/>
    <row r="1162" ht="14.1" customHeight="1"/>
    <row r="1163" ht="14.1" customHeight="1"/>
    <row r="1164" ht="14.1" customHeight="1"/>
    <row r="1165" ht="14.1" customHeight="1"/>
    <row r="1166" ht="14.1" customHeight="1"/>
    <row r="1167" ht="14.1" customHeight="1"/>
    <row r="1168" ht="14.1" customHeight="1"/>
    <row r="1169" ht="14.1" customHeight="1"/>
    <row r="1170" ht="14.1" customHeight="1"/>
    <row r="1171" ht="14.1" customHeight="1"/>
    <row r="1172" ht="14.1" customHeight="1"/>
    <row r="1173" ht="14.1" customHeight="1"/>
    <row r="1174" ht="14.1" customHeight="1"/>
    <row r="1175" ht="14.1" customHeight="1"/>
    <row r="1176" ht="14.1" customHeight="1"/>
    <row r="1177" ht="14.1" customHeight="1"/>
    <row r="1178" ht="14.1" customHeight="1"/>
    <row r="1179" ht="14.1" customHeight="1"/>
    <row r="1180" ht="14.1" customHeight="1"/>
    <row r="1181" ht="14.1" customHeight="1"/>
    <row r="1182" ht="14.1" customHeight="1"/>
    <row r="1183" ht="14.1" customHeight="1"/>
    <row r="1184" ht="14.1" customHeight="1"/>
    <row r="1185" ht="14.1" customHeight="1"/>
    <row r="1186" ht="14.1" customHeight="1"/>
    <row r="1187" ht="14.1" customHeight="1"/>
    <row r="1188" ht="14.1" customHeight="1"/>
    <row r="1189" ht="14.1" customHeight="1"/>
    <row r="1190" ht="14.1" customHeight="1"/>
    <row r="1191" ht="14.1" customHeight="1"/>
    <row r="1192" ht="14.1" customHeight="1"/>
    <row r="1193" ht="14.1" customHeight="1"/>
    <row r="1194" ht="14.1" customHeight="1"/>
    <row r="1195" ht="14.1" customHeight="1"/>
    <row r="1196" ht="14.1" customHeight="1"/>
    <row r="1197" ht="14.1" customHeight="1"/>
    <row r="1198" ht="14.1" customHeight="1"/>
    <row r="1199" ht="14.1" customHeight="1"/>
    <row r="1200" ht="14.1" customHeight="1"/>
    <row r="1201" ht="14.1" customHeight="1"/>
    <row r="1202" ht="14.1" customHeight="1"/>
    <row r="1203" ht="14.1" customHeight="1"/>
    <row r="1204" ht="14.1" customHeight="1"/>
    <row r="1205" ht="14.1" customHeight="1"/>
    <row r="1206" ht="14.1" customHeight="1"/>
    <row r="1207" ht="14.1" customHeight="1"/>
    <row r="1208" ht="14.1" customHeight="1"/>
    <row r="1209" ht="14.1" customHeight="1"/>
    <row r="1210" ht="14.1" customHeight="1"/>
    <row r="1211" ht="14.1" customHeight="1"/>
    <row r="1212" ht="14.1" customHeight="1"/>
    <row r="1213" ht="14.1" customHeight="1"/>
    <row r="1214" ht="14.1" customHeight="1"/>
    <row r="1215" ht="14.1" customHeight="1"/>
    <row r="1216" ht="14.1" customHeight="1"/>
    <row r="1217" ht="14.1" customHeight="1"/>
    <row r="1218" ht="14.1" customHeight="1"/>
    <row r="1219" ht="14.1" customHeight="1"/>
    <row r="1220" ht="14.1" customHeight="1"/>
    <row r="1221" ht="14.1" customHeight="1"/>
    <row r="1222" ht="14.1" customHeight="1"/>
    <row r="1223" ht="14.1" customHeight="1"/>
    <row r="1224" ht="14.1" customHeight="1"/>
    <row r="1225" ht="14.1" customHeight="1"/>
    <row r="1226" ht="14.1" customHeight="1"/>
    <row r="1227" ht="14.1" customHeight="1"/>
    <row r="1228" ht="14.1" customHeight="1"/>
    <row r="1229" ht="14.1" customHeight="1"/>
    <row r="1230" ht="14.1" customHeight="1"/>
    <row r="1231" ht="14.1" customHeight="1"/>
    <row r="1232" ht="14.1" customHeight="1"/>
    <row r="1233" ht="14.1" customHeight="1"/>
    <row r="1234" ht="14.1" customHeight="1"/>
    <row r="1235" ht="14.1" customHeight="1"/>
    <row r="1236" ht="14.1" customHeight="1"/>
    <row r="1237" ht="14.1" customHeight="1"/>
    <row r="1238" ht="14.1" customHeight="1"/>
    <row r="1239" ht="14.1" customHeight="1"/>
    <row r="1240" ht="14.1" customHeight="1"/>
    <row r="1241" ht="14.1" customHeight="1"/>
    <row r="1242" ht="14.1" customHeight="1"/>
    <row r="1243" ht="14.1" customHeight="1"/>
    <row r="1244" ht="14.1" customHeight="1"/>
    <row r="1245" ht="14.1" customHeight="1"/>
    <row r="1246" ht="14.1" customHeight="1"/>
    <row r="1247" ht="14.1" customHeight="1"/>
    <row r="1248" ht="14.1" customHeight="1"/>
    <row r="1249" ht="14.1" customHeight="1"/>
    <row r="1250" ht="14.1" customHeight="1"/>
    <row r="1251" ht="14.1" customHeight="1"/>
    <row r="1252" ht="14.1" customHeight="1"/>
    <row r="1253" ht="14.1" customHeight="1"/>
    <row r="1254" ht="14.1" customHeight="1"/>
    <row r="1255" ht="14.1" customHeight="1"/>
    <row r="1256" ht="14.1" customHeight="1"/>
    <row r="1257" ht="14.1" customHeight="1"/>
    <row r="1258" ht="14.1" customHeight="1"/>
    <row r="1259" ht="14.1" customHeight="1"/>
    <row r="1260" ht="14.1" customHeight="1"/>
    <row r="1261" ht="14.1" customHeight="1"/>
    <row r="1262" ht="14.1" customHeight="1"/>
    <row r="1263" ht="14.1" customHeight="1"/>
    <row r="1264" ht="14.1" customHeight="1"/>
    <row r="1265" ht="14.1" customHeight="1"/>
    <row r="1266" ht="14.1" customHeight="1"/>
    <row r="1267" ht="14.1" customHeight="1"/>
    <row r="1268" ht="14.1" customHeight="1"/>
    <row r="1269" ht="14.1" customHeight="1"/>
    <row r="1270" ht="14.1" customHeight="1"/>
    <row r="1271" ht="14.1" customHeight="1"/>
    <row r="1272" ht="14.1" customHeight="1"/>
    <row r="1273" ht="14.1" customHeight="1"/>
    <row r="1274" ht="14.1" customHeight="1"/>
    <row r="1275" ht="14.1" customHeight="1"/>
    <row r="1276" ht="14.1" customHeight="1"/>
    <row r="1277" ht="14.1" customHeight="1"/>
    <row r="1278" ht="14.1" customHeight="1"/>
    <row r="1279" ht="14.1" customHeight="1"/>
    <row r="1280" ht="14.1" customHeight="1"/>
    <row r="1281" ht="14.1" customHeight="1"/>
    <row r="1282" ht="14.1" customHeight="1"/>
    <row r="1283" ht="14.1" customHeight="1"/>
    <row r="1284" ht="14.1" customHeight="1"/>
    <row r="1285" ht="14.1" customHeight="1"/>
    <row r="1286" ht="14.1" customHeight="1"/>
    <row r="1287" ht="14.1" customHeight="1"/>
    <row r="1288" ht="14.1" customHeight="1"/>
    <row r="1289" ht="14.1" customHeight="1"/>
    <row r="1290" ht="14.1" customHeight="1"/>
    <row r="1291" ht="14.1" customHeight="1"/>
    <row r="1292" ht="14.1" customHeight="1"/>
    <row r="1293" ht="14.1" customHeight="1"/>
    <row r="1294" ht="14.1" customHeight="1"/>
    <row r="1295" ht="14.1" customHeight="1"/>
    <row r="1296" ht="14.1" customHeight="1"/>
    <row r="1297" ht="14.1" customHeight="1"/>
    <row r="1298" ht="14.1" customHeight="1"/>
    <row r="1299" ht="14.1" customHeight="1"/>
    <row r="1300" ht="14.1" customHeight="1"/>
    <row r="1301" ht="14.1" customHeight="1"/>
    <row r="1302" ht="14.1" customHeight="1"/>
    <row r="1303" ht="14.1" customHeight="1"/>
    <row r="1304" ht="14.1" customHeight="1"/>
    <row r="1305" ht="14.1" customHeight="1"/>
    <row r="1306" ht="14.1" customHeight="1"/>
    <row r="1307" ht="14.1" customHeight="1"/>
    <row r="1308" ht="14.1" customHeight="1"/>
    <row r="1309" ht="14.1" customHeight="1"/>
    <row r="1310" ht="14.1" customHeight="1"/>
    <row r="1311" ht="14.1" customHeight="1"/>
    <row r="1312" ht="14.1" customHeight="1"/>
    <row r="1313" ht="14.1" customHeight="1"/>
    <row r="1314" ht="14.1" customHeight="1"/>
    <row r="1315" ht="14.1" customHeight="1"/>
    <row r="1316" ht="14.1" customHeight="1"/>
    <row r="1317" ht="14.1" customHeight="1"/>
    <row r="1318" ht="14.1" customHeight="1"/>
    <row r="1319" ht="14.1" customHeight="1"/>
    <row r="1320" ht="14.1" customHeight="1"/>
    <row r="1321" ht="14.1" customHeight="1"/>
    <row r="1322" ht="14.1" customHeight="1"/>
    <row r="1323" ht="14.1" customHeight="1"/>
    <row r="1324" ht="14.1" customHeight="1"/>
    <row r="1325" ht="14.1" customHeight="1"/>
    <row r="1326" ht="14.1" customHeight="1"/>
    <row r="1327" ht="14.1" customHeight="1"/>
    <row r="1328" ht="14.1" customHeight="1"/>
    <row r="1329" ht="14.1" customHeight="1"/>
    <row r="1330" ht="14.1" customHeight="1"/>
    <row r="1331" ht="14.1" customHeight="1"/>
    <row r="1332" ht="14.1" customHeight="1"/>
    <row r="1333" ht="14.1" customHeight="1"/>
    <row r="1334" ht="14.1" customHeight="1"/>
    <row r="1335" ht="14.1" customHeight="1"/>
    <row r="1336" ht="14.1" customHeight="1"/>
    <row r="1337" ht="14.1" customHeight="1"/>
    <row r="1338" ht="14.1" customHeight="1"/>
    <row r="1339" ht="14.1" customHeight="1"/>
    <row r="1340" ht="14.1" customHeight="1"/>
    <row r="1341" ht="14.1" customHeight="1"/>
    <row r="1342" ht="14.1" customHeight="1"/>
    <row r="1343" ht="14.1" customHeight="1"/>
    <row r="1344" ht="14.1" customHeight="1"/>
    <row r="1345" ht="14.1" customHeight="1"/>
    <row r="1346" ht="14.1" customHeight="1"/>
    <row r="1347" ht="14.1" customHeight="1"/>
    <row r="1348" ht="14.1" customHeight="1"/>
    <row r="1349" ht="14.1" customHeight="1"/>
    <row r="1350" ht="14.1" customHeight="1"/>
    <row r="1351" ht="14.1" customHeight="1"/>
    <row r="1352" ht="14.1" customHeight="1"/>
    <row r="1353" ht="14.1" customHeight="1"/>
    <row r="1354" ht="14.1" customHeight="1"/>
    <row r="1355" ht="14.1" customHeight="1"/>
    <row r="1356" ht="14.1" customHeight="1"/>
    <row r="1357" ht="14.1" customHeight="1"/>
    <row r="1358" ht="14.1" customHeight="1"/>
    <row r="1359" ht="14.1" customHeight="1"/>
    <row r="1360" ht="14.1" customHeight="1"/>
    <row r="1361" ht="14.1" customHeight="1"/>
    <row r="1362" ht="14.1" customHeight="1"/>
    <row r="1363" ht="14.1" customHeight="1"/>
    <row r="1364" ht="14.1" customHeight="1"/>
    <row r="1365" ht="14.1" customHeight="1"/>
    <row r="1366" ht="14.1" customHeight="1"/>
    <row r="1367" ht="14.1" customHeight="1"/>
    <row r="1368" ht="14.1" customHeight="1"/>
    <row r="1369" ht="14.1" customHeight="1"/>
    <row r="1370" ht="14.1" customHeight="1"/>
    <row r="1371" ht="14.1" customHeight="1"/>
    <row r="1372" ht="14.1" customHeight="1"/>
    <row r="1373" ht="14.1" customHeight="1"/>
    <row r="1374" ht="14.1" customHeight="1"/>
    <row r="1375" ht="14.1" customHeight="1"/>
    <row r="1376" ht="14.1" customHeight="1"/>
    <row r="1377" ht="14.1" customHeight="1"/>
    <row r="1378" ht="14.1" customHeight="1"/>
    <row r="1379" ht="14.1" customHeight="1"/>
    <row r="1380" ht="14.1" customHeight="1"/>
    <row r="1381" ht="14.1" customHeight="1"/>
    <row r="1382" ht="14.1" customHeight="1"/>
    <row r="1383" ht="14.1" customHeight="1"/>
    <row r="1384" ht="14.1" customHeight="1"/>
    <row r="1385" ht="14.1" customHeight="1"/>
    <row r="1386" ht="14.1" customHeight="1"/>
    <row r="1387" ht="14.1" customHeight="1"/>
    <row r="1388" ht="14.1" customHeight="1"/>
    <row r="1389" ht="14.1" customHeight="1"/>
    <row r="1390" ht="14.1" customHeight="1"/>
    <row r="1391" ht="14.1" customHeight="1"/>
    <row r="1392" ht="14.1" customHeight="1"/>
    <row r="1393" ht="14.1" customHeight="1"/>
    <row r="1394" ht="14.1" customHeight="1"/>
    <row r="1395" ht="14.1" customHeight="1"/>
    <row r="1396" ht="14.1" customHeight="1"/>
    <row r="1397" ht="14.1" customHeight="1"/>
    <row r="1398" ht="14.1" customHeight="1"/>
    <row r="1399" ht="14.1" customHeight="1"/>
    <row r="1400" ht="14.1" customHeight="1"/>
    <row r="1401" ht="14.1" customHeight="1"/>
    <row r="1402" ht="14.1" customHeight="1"/>
    <row r="1403" ht="14.1" customHeight="1"/>
    <row r="1404" ht="14.1" customHeight="1"/>
    <row r="1405" ht="14.1" customHeight="1"/>
    <row r="1406" ht="14.1" customHeight="1"/>
    <row r="1407" ht="14.1" customHeight="1"/>
    <row r="1408" ht="14.1" customHeight="1"/>
    <row r="1409" ht="14.1" customHeight="1"/>
    <row r="1410" ht="14.1" customHeight="1"/>
    <row r="1411" ht="14.1" customHeight="1"/>
    <row r="1412" ht="14.1" customHeight="1"/>
    <row r="1413" ht="14.1" customHeight="1"/>
    <row r="1414" ht="14.1" customHeight="1"/>
    <row r="1415" ht="14.1" customHeight="1"/>
    <row r="1416" ht="14.1" customHeight="1"/>
    <row r="1417" ht="14.1" customHeight="1"/>
    <row r="1418" ht="14.1" customHeight="1"/>
    <row r="1419" ht="14.1" customHeight="1"/>
    <row r="1420" ht="14.1" customHeight="1"/>
    <row r="1421" ht="14.1" customHeight="1"/>
    <row r="1422" ht="14.1" customHeight="1"/>
    <row r="1423" ht="14.1" customHeight="1"/>
    <row r="1424" ht="14.1" customHeight="1"/>
    <row r="1425" ht="14.1" customHeight="1"/>
    <row r="1426" ht="14.1" customHeight="1"/>
    <row r="1427" ht="14.1" customHeight="1"/>
    <row r="1428" ht="14.1" customHeight="1"/>
    <row r="1429" ht="14.1" customHeight="1"/>
    <row r="1430" ht="14.1" customHeight="1"/>
    <row r="1431" ht="14.1" customHeight="1"/>
    <row r="1432" ht="14.1" customHeight="1"/>
    <row r="1433" ht="14.1" customHeight="1"/>
    <row r="1434" ht="14.1" customHeight="1"/>
    <row r="1435" ht="14.1" customHeight="1"/>
    <row r="1436" ht="14.1" customHeight="1"/>
    <row r="1437" ht="14.1" customHeight="1"/>
    <row r="1438" ht="14.1" customHeight="1"/>
    <row r="1439" ht="14.1" customHeight="1"/>
    <row r="1440" ht="14.1" customHeight="1"/>
    <row r="1441" ht="14.1" customHeight="1"/>
    <row r="1442" ht="14.1" customHeight="1"/>
    <row r="1443" ht="14.1" customHeight="1"/>
    <row r="1444" ht="14.1" customHeight="1"/>
    <row r="1445" ht="14.1" customHeight="1"/>
    <row r="1446" ht="14.1" customHeight="1"/>
    <row r="1447" ht="14.1" customHeight="1"/>
    <row r="1448" ht="14.1" customHeight="1"/>
    <row r="1449" ht="14.1" customHeight="1"/>
    <row r="1450" ht="14.1" customHeight="1"/>
    <row r="1451" ht="14.1" customHeight="1"/>
    <row r="1452" ht="14.1" customHeight="1"/>
    <row r="1453" ht="14.1" customHeight="1"/>
    <row r="1454" ht="14.1" customHeight="1"/>
    <row r="1455" ht="14.1" customHeight="1"/>
    <row r="1456" ht="14.1" customHeight="1"/>
    <row r="1457" ht="14.1" customHeight="1"/>
    <row r="1458" ht="14.1" customHeight="1"/>
    <row r="1459" ht="14.1" customHeight="1"/>
    <row r="1460" ht="14.1" customHeight="1"/>
    <row r="1461" ht="14.1" customHeight="1"/>
    <row r="1462" ht="14.1" customHeight="1"/>
    <row r="1463" ht="14.1" customHeight="1"/>
    <row r="1464" ht="14.1" customHeight="1"/>
    <row r="1465" ht="14.1" customHeight="1"/>
    <row r="1466" ht="14.1" customHeight="1"/>
    <row r="1467" ht="14.1" customHeight="1"/>
    <row r="1468" ht="14.1" customHeight="1"/>
    <row r="1469" ht="14.1" customHeight="1"/>
    <row r="1470" ht="14.1" customHeight="1"/>
    <row r="1471" ht="14.1" customHeight="1"/>
    <row r="1472" ht="14.1" customHeight="1"/>
    <row r="1473" ht="14.1" customHeight="1"/>
    <row r="1474" ht="14.1" customHeight="1"/>
    <row r="1475" ht="14.1" customHeight="1"/>
    <row r="1476" ht="14.1" customHeight="1"/>
    <row r="1477" ht="14.1" customHeight="1"/>
    <row r="1478" ht="14.1" customHeight="1"/>
    <row r="1479" ht="14.1" customHeight="1"/>
    <row r="1480" ht="14.1" customHeight="1"/>
    <row r="1481" ht="14.1" customHeight="1"/>
    <row r="1482" ht="14.1" customHeight="1"/>
    <row r="1483" ht="14.1" customHeight="1"/>
    <row r="1484" ht="14.1" customHeight="1"/>
    <row r="1485" ht="14.1" customHeight="1"/>
    <row r="1486" ht="14.1" customHeight="1"/>
    <row r="1487" ht="14.1" customHeight="1"/>
    <row r="1488" ht="14.1" customHeight="1"/>
    <row r="1489" ht="14.1" customHeight="1"/>
    <row r="1490" ht="14.1" customHeight="1"/>
  </sheetData>
  <conditionalFormatting sqref="A33">
    <cfRule type="duplicateValues" dxfId="11" priority="10"/>
  </conditionalFormatting>
  <conditionalFormatting sqref="A40:A41">
    <cfRule type="duplicateValues" dxfId="10" priority="9"/>
  </conditionalFormatting>
  <conditionalFormatting sqref="A43">
    <cfRule type="duplicateValues" dxfId="9" priority="8"/>
  </conditionalFormatting>
  <conditionalFormatting sqref="A54">
    <cfRule type="duplicateValues" dxfId="8" priority="7"/>
  </conditionalFormatting>
  <conditionalFormatting sqref="A72">
    <cfRule type="duplicateValues" dxfId="7" priority="6"/>
  </conditionalFormatting>
  <conditionalFormatting sqref="A103">
    <cfRule type="duplicateValues" dxfId="6" priority="5"/>
  </conditionalFormatting>
  <conditionalFormatting sqref="A105">
    <cfRule type="duplicateValues" dxfId="5" priority="4"/>
  </conditionalFormatting>
  <conditionalFormatting sqref="A109">
    <cfRule type="duplicateValues" dxfId="4" priority="3"/>
  </conditionalFormatting>
  <conditionalFormatting sqref="A118">
    <cfRule type="duplicateValues" dxfId="3" priority="2"/>
  </conditionalFormatting>
  <conditionalFormatting sqref="A120">
    <cfRule type="duplicateValues" dxfId="2" priority="1"/>
  </conditionalFormatting>
  <conditionalFormatting sqref="B2:B120">
    <cfRule type="duplicateValues" dxfId="1" priority="11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AB482-3758-46EA-9A4B-4BE24EDC9E03}">
  <dimension ref="A1:CX2"/>
  <sheetViews>
    <sheetView workbookViewId="0"/>
  </sheetViews>
  <sheetFormatPr defaultRowHeight="13.2"/>
  <cols>
    <col min="1" max="1" width="18.44140625" bestFit="1" customWidth="1"/>
    <col min="2" max="2" width="47.109375" bestFit="1" customWidth="1"/>
    <col min="3" max="3" width="26.6640625" bestFit="1" customWidth="1"/>
    <col min="4" max="4" width="26" bestFit="1" customWidth="1"/>
    <col min="5" max="5" width="36" bestFit="1" customWidth="1"/>
    <col min="6" max="6" width="13.88671875" bestFit="1" customWidth="1"/>
    <col min="7" max="7" width="26.44140625" bestFit="1" customWidth="1"/>
    <col min="8" max="8" width="24.109375" bestFit="1" customWidth="1"/>
    <col min="9" max="9" width="20.109375" bestFit="1" customWidth="1"/>
    <col min="10" max="10" width="43.88671875" bestFit="1" customWidth="1"/>
    <col min="11" max="11" width="40.5546875" bestFit="1" customWidth="1"/>
    <col min="12" max="12" width="20.6640625" bestFit="1" customWidth="1"/>
    <col min="13" max="13" width="31.5546875" bestFit="1" customWidth="1"/>
    <col min="14" max="14" width="30.5546875" bestFit="1" customWidth="1"/>
    <col min="15" max="15" width="47.109375" bestFit="1" customWidth="1"/>
    <col min="16" max="16" width="28.6640625" bestFit="1" customWidth="1"/>
    <col min="17" max="17" width="16.33203125" bestFit="1" customWidth="1"/>
    <col min="18" max="18" width="12.88671875" bestFit="1" customWidth="1"/>
    <col min="19" max="19" width="27" bestFit="1" customWidth="1"/>
    <col min="20" max="20" width="22.88671875" bestFit="1" customWidth="1"/>
    <col min="21" max="21" width="21.88671875" bestFit="1" customWidth="1"/>
    <col min="22" max="22" width="34.88671875" bestFit="1" customWidth="1"/>
    <col min="23" max="23" width="29" bestFit="1" customWidth="1"/>
    <col min="24" max="24" width="23.5546875" bestFit="1" customWidth="1"/>
    <col min="25" max="25" width="31.88671875" bestFit="1" customWidth="1"/>
    <col min="26" max="26" width="41.33203125" bestFit="1" customWidth="1"/>
    <col min="27" max="27" width="19.5546875" bestFit="1" customWidth="1"/>
    <col min="28" max="28" width="25.88671875" bestFit="1" customWidth="1"/>
    <col min="29" max="29" width="26.33203125" bestFit="1" customWidth="1"/>
    <col min="30" max="30" width="23.44140625" bestFit="1" customWidth="1"/>
    <col min="31" max="31" width="15.109375" bestFit="1" customWidth="1"/>
    <col min="32" max="32" width="32.88671875" bestFit="1" customWidth="1"/>
    <col min="33" max="33" width="28.6640625" bestFit="1" customWidth="1"/>
    <col min="34" max="34" width="20" bestFit="1" customWidth="1"/>
    <col min="35" max="35" width="16.6640625" bestFit="1" customWidth="1"/>
    <col min="36" max="36" width="27.5546875" bestFit="1" customWidth="1"/>
    <col min="37" max="37" width="39.109375" bestFit="1" customWidth="1"/>
    <col min="38" max="38" width="24.109375" bestFit="1" customWidth="1"/>
    <col min="39" max="39" width="28.88671875" bestFit="1" customWidth="1"/>
    <col min="40" max="41" width="23.88671875" bestFit="1" customWidth="1"/>
    <col min="42" max="42" width="38.109375" bestFit="1" customWidth="1"/>
    <col min="43" max="43" width="28.5546875" bestFit="1" customWidth="1"/>
    <col min="44" max="44" width="42.33203125" bestFit="1" customWidth="1"/>
    <col min="45" max="45" width="26.88671875" bestFit="1" customWidth="1"/>
    <col min="46" max="46" width="31.5546875" bestFit="1" customWidth="1"/>
    <col min="47" max="47" width="37.109375" bestFit="1" customWidth="1"/>
    <col min="48" max="48" width="28.88671875" bestFit="1" customWidth="1"/>
    <col min="49" max="49" width="41" bestFit="1" customWidth="1"/>
    <col min="50" max="50" width="31.44140625" bestFit="1" customWidth="1"/>
    <col min="51" max="51" width="34.44140625" bestFit="1" customWidth="1"/>
    <col min="52" max="52" width="42.5546875" bestFit="1" customWidth="1"/>
    <col min="53" max="53" width="24.109375" bestFit="1" customWidth="1"/>
    <col min="54" max="54" width="20.6640625" bestFit="1" customWidth="1"/>
    <col min="55" max="55" width="41.109375" bestFit="1" customWidth="1"/>
    <col min="56" max="56" width="19.109375" bestFit="1" customWidth="1"/>
    <col min="57" max="57" width="32.6640625" bestFit="1" customWidth="1"/>
    <col min="58" max="58" width="24.33203125" bestFit="1" customWidth="1"/>
    <col min="59" max="59" width="35" bestFit="1" customWidth="1"/>
    <col min="60" max="60" width="41.5546875" bestFit="1" customWidth="1"/>
    <col min="61" max="61" width="24.109375" bestFit="1" customWidth="1"/>
    <col min="62" max="62" width="14.6640625" bestFit="1" customWidth="1"/>
    <col min="63" max="63" width="47.6640625" bestFit="1" customWidth="1"/>
    <col min="64" max="64" width="32" bestFit="1" customWidth="1"/>
    <col min="65" max="65" width="42.5546875" bestFit="1" customWidth="1"/>
    <col min="66" max="66" width="27.88671875" bestFit="1" customWidth="1"/>
    <col min="67" max="67" width="23.6640625" bestFit="1" customWidth="1"/>
    <col min="68" max="68" width="45.5546875" bestFit="1" customWidth="1"/>
    <col min="69" max="69" width="16.109375" bestFit="1" customWidth="1"/>
    <col min="70" max="70" width="34.33203125" bestFit="1" customWidth="1"/>
    <col min="71" max="71" width="14.44140625" bestFit="1" customWidth="1"/>
    <col min="72" max="72" width="18.109375" bestFit="1" customWidth="1"/>
    <col min="73" max="73" width="41" bestFit="1" customWidth="1"/>
    <col min="74" max="74" width="34.44140625" bestFit="1" customWidth="1"/>
    <col min="75" max="75" width="31.44140625" bestFit="1" customWidth="1"/>
    <col min="76" max="76" width="38" bestFit="1" customWidth="1"/>
    <col min="77" max="77" width="44.33203125" bestFit="1" customWidth="1"/>
    <col min="78" max="78" width="15" bestFit="1" customWidth="1"/>
    <col min="79" max="79" width="23.44140625" bestFit="1" customWidth="1"/>
    <col min="80" max="80" width="44.33203125" bestFit="1" customWidth="1"/>
    <col min="81" max="81" width="44.109375" bestFit="1" customWidth="1"/>
    <col min="82" max="82" width="33.5546875" bestFit="1" customWidth="1"/>
    <col min="83" max="83" width="18.6640625" bestFit="1" customWidth="1"/>
    <col min="84" max="84" width="33" bestFit="1" customWidth="1"/>
    <col min="85" max="85" width="14.6640625" bestFit="1" customWidth="1"/>
    <col min="86" max="86" width="41.5546875" bestFit="1" customWidth="1"/>
    <col min="87" max="87" width="27.88671875" bestFit="1" customWidth="1"/>
    <col min="88" max="88" width="42.5546875" bestFit="1" customWidth="1"/>
    <col min="89" max="89" width="15.33203125" bestFit="1" customWidth="1"/>
    <col min="90" max="90" width="18.88671875" bestFit="1" customWidth="1"/>
    <col min="91" max="91" width="22.88671875" bestFit="1" customWidth="1"/>
    <col min="92" max="92" width="29.109375" bestFit="1" customWidth="1"/>
    <col min="93" max="93" width="34.109375" bestFit="1" customWidth="1"/>
    <col min="94" max="94" width="18.88671875" bestFit="1" customWidth="1"/>
    <col min="95" max="95" width="25.109375" bestFit="1" customWidth="1"/>
    <col min="96" max="96" width="36.109375" bestFit="1" customWidth="1"/>
    <col min="97" max="97" width="21" bestFit="1" customWidth="1"/>
    <col min="98" max="98" width="14.5546875" bestFit="1" customWidth="1"/>
    <col min="99" max="99" width="30.109375" bestFit="1" customWidth="1"/>
    <col min="100" max="100" width="17.88671875" bestFit="1" customWidth="1"/>
    <col min="101" max="101" width="30" bestFit="1" customWidth="1"/>
    <col min="102" max="102" width="38.88671875" bestFit="1" customWidth="1"/>
  </cols>
  <sheetData>
    <row r="1" spans="1:102">
      <c r="A1" t="s">
        <v>1</v>
      </c>
      <c r="B1" t="s">
        <v>3</v>
      </c>
      <c r="C1" t="s">
        <v>5</v>
      </c>
      <c r="D1" t="s">
        <v>7</v>
      </c>
      <c r="E1" t="s">
        <v>9</v>
      </c>
      <c r="F1" t="s">
        <v>11</v>
      </c>
      <c r="G1" t="s">
        <v>13</v>
      </c>
      <c r="H1" t="s">
        <v>15</v>
      </c>
      <c r="I1" t="s">
        <v>17</v>
      </c>
      <c r="J1" t="s">
        <v>19</v>
      </c>
      <c r="K1" t="s">
        <v>23</v>
      </c>
      <c r="L1" t="s">
        <v>39</v>
      </c>
      <c r="M1" t="s">
        <v>41</v>
      </c>
      <c r="N1" t="s">
        <v>51</v>
      </c>
      <c r="O1" t="s">
        <v>53</v>
      </c>
      <c r="P1" t="s">
        <v>55</v>
      </c>
      <c r="Q1" t="s">
        <v>43</v>
      </c>
      <c r="R1" t="s">
        <v>57</v>
      </c>
      <c r="S1" t="s">
        <v>59</v>
      </c>
      <c r="T1" t="s">
        <v>61</v>
      </c>
      <c r="U1" t="s">
        <v>25</v>
      </c>
      <c r="V1" t="s">
        <v>63</v>
      </c>
      <c r="W1" t="s">
        <v>35</v>
      </c>
      <c r="X1" t="s">
        <v>49</v>
      </c>
      <c r="Y1" t="s">
        <v>65</v>
      </c>
      <c r="Z1" t="s">
        <v>67</v>
      </c>
      <c r="AA1" t="s">
        <v>37</v>
      </c>
      <c r="AB1" t="s">
        <v>69</v>
      </c>
      <c r="AC1" t="s">
        <v>71</v>
      </c>
      <c r="AD1" t="s">
        <v>73</v>
      </c>
      <c r="AE1" t="s">
        <v>75</v>
      </c>
      <c r="AF1" t="s">
        <v>21</v>
      </c>
      <c r="AG1" t="s">
        <v>77</v>
      </c>
      <c r="AH1" t="s">
        <v>79</v>
      </c>
      <c r="AI1" t="s">
        <v>81</v>
      </c>
      <c r="AJ1" t="s">
        <v>83</v>
      </c>
      <c r="AK1" t="s">
        <v>85</v>
      </c>
      <c r="AL1" t="s">
        <v>99</v>
      </c>
      <c r="AM1" t="s">
        <v>101</v>
      </c>
      <c r="AN1" t="s">
        <v>103</v>
      </c>
      <c r="AO1" t="s">
        <v>105</v>
      </c>
      <c r="AP1" t="s">
        <v>107</v>
      </c>
      <c r="AQ1" t="s">
        <v>33</v>
      </c>
      <c r="AR1" t="s">
        <v>109</v>
      </c>
      <c r="AS1" t="s">
        <v>111</v>
      </c>
      <c r="AT1" t="s">
        <v>95</v>
      </c>
      <c r="AU1" t="s">
        <v>97</v>
      </c>
      <c r="AV1" t="s">
        <v>93</v>
      </c>
      <c r="AW1" t="s">
        <v>113</v>
      </c>
      <c r="AX1" t="s">
        <v>115</v>
      </c>
      <c r="AY1" t="s">
        <v>87</v>
      </c>
      <c r="AZ1" t="s">
        <v>117</v>
      </c>
      <c r="BA1" t="s">
        <v>31</v>
      </c>
      <c r="BB1" t="s">
        <v>29</v>
      </c>
      <c r="BC1" t="s">
        <v>119</v>
      </c>
      <c r="BD1" t="s">
        <v>27</v>
      </c>
      <c r="BE1" t="s">
        <v>121</v>
      </c>
      <c r="BF1" t="s">
        <v>123</v>
      </c>
      <c r="BG1" t="s">
        <v>125</v>
      </c>
      <c r="BH1" t="s">
        <v>127</v>
      </c>
      <c r="BI1" t="s">
        <v>45</v>
      </c>
      <c r="BJ1" t="s">
        <v>137</v>
      </c>
      <c r="BK1" t="s">
        <v>139</v>
      </c>
      <c r="BL1" t="s">
        <v>141</v>
      </c>
      <c r="BM1" t="s">
        <v>143</v>
      </c>
      <c r="BN1" t="s">
        <v>145</v>
      </c>
      <c r="BO1" t="s">
        <v>129</v>
      </c>
      <c r="BP1" t="s">
        <v>147</v>
      </c>
      <c r="BQ1" t="s">
        <v>149</v>
      </c>
      <c r="BR1" t="s">
        <v>151</v>
      </c>
      <c r="BS1" t="s">
        <v>131</v>
      </c>
      <c r="BT1" t="s">
        <v>153</v>
      </c>
      <c r="BU1" t="s">
        <v>89</v>
      </c>
      <c r="BV1" t="s">
        <v>155</v>
      </c>
      <c r="BW1" t="s">
        <v>91</v>
      </c>
      <c r="BX1" t="s">
        <v>157</v>
      </c>
      <c r="BY1" t="s">
        <v>133</v>
      </c>
      <c r="BZ1" t="s">
        <v>47</v>
      </c>
      <c r="CA1" t="s">
        <v>159</v>
      </c>
      <c r="CB1" t="s">
        <v>161</v>
      </c>
      <c r="CC1" t="s">
        <v>163</v>
      </c>
      <c r="CD1" t="s">
        <v>165</v>
      </c>
      <c r="CE1" t="s">
        <v>167</v>
      </c>
      <c r="CF1" t="s">
        <v>169</v>
      </c>
      <c r="CG1" t="s">
        <v>171</v>
      </c>
      <c r="CH1" t="s">
        <v>173</v>
      </c>
      <c r="CI1" t="s">
        <v>175</v>
      </c>
      <c r="CJ1" t="s">
        <v>177</v>
      </c>
      <c r="CK1" t="s">
        <v>179</v>
      </c>
      <c r="CL1" t="s">
        <v>181</v>
      </c>
      <c r="CM1" t="s">
        <v>135</v>
      </c>
      <c r="CN1" t="s">
        <v>183</v>
      </c>
      <c r="CO1" t="s">
        <v>185</v>
      </c>
      <c r="CP1" t="s">
        <v>187</v>
      </c>
      <c r="CQ1" t="s">
        <v>189</v>
      </c>
      <c r="CR1" t="s">
        <v>191</v>
      </c>
      <c r="CS1" t="s">
        <v>193</v>
      </c>
      <c r="CT1" t="s">
        <v>195</v>
      </c>
      <c r="CU1" t="s">
        <v>197</v>
      </c>
      <c r="CV1" t="s">
        <v>199</v>
      </c>
      <c r="CW1" t="s">
        <v>201</v>
      </c>
      <c r="CX1" t="s">
        <v>203</v>
      </c>
    </row>
    <row r="2" spans="1:102">
      <c r="A2" t="s">
        <v>0</v>
      </c>
      <c r="B2" t="s">
        <v>2</v>
      </c>
      <c r="C2" t="s">
        <v>4</v>
      </c>
      <c r="D2" t="s">
        <v>6</v>
      </c>
      <c r="E2" t="s">
        <v>8</v>
      </c>
      <c r="F2" t="s">
        <v>10</v>
      </c>
      <c r="G2" t="s">
        <v>12</v>
      </c>
      <c r="H2" t="s">
        <v>14</v>
      </c>
      <c r="I2" t="s">
        <v>16</v>
      </c>
      <c r="J2" t="s">
        <v>18</v>
      </c>
      <c r="K2" t="s">
        <v>22</v>
      </c>
      <c r="L2" t="s">
        <v>38</v>
      </c>
      <c r="M2" t="s">
        <v>40</v>
      </c>
      <c r="N2" t="s">
        <v>50</v>
      </c>
      <c r="O2" t="s">
        <v>52</v>
      </c>
      <c r="P2" t="s">
        <v>54</v>
      </c>
      <c r="Q2" t="s">
        <v>42</v>
      </c>
      <c r="R2" t="s">
        <v>56</v>
      </c>
      <c r="S2" t="s">
        <v>58</v>
      </c>
      <c r="T2" t="s">
        <v>60</v>
      </c>
      <c r="U2" t="s">
        <v>24</v>
      </c>
      <c r="V2" t="s">
        <v>62</v>
      </c>
      <c r="W2" t="s">
        <v>34</v>
      </c>
      <c r="X2" t="s">
        <v>48</v>
      </c>
      <c r="Y2" t="s">
        <v>64</v>
      </c>
      <c r="Z2" t="s">
        <v>66</v>
      </c>
      <c r="AA2" t="s">
        <v>36</v>
      </c>
      <c r="AB2" t="s">
        <v>68</v>
      </c>
      <c r="AC2" t="s">
        <v>70</v>
      </c>
      <c r="AD2" t="s">
        <v>72</v>
      </c>
      <c r="AE2" t="s">
        <v>74</v>
      </c>
      <c r="AF2" t="s">
        <v>20</v>
      </c>
      <c r="AG2" t="s">
        <v>76</v>
      </c>
      <c r="AH2" t="s">
        <v>78</v>
      </c>
      <c r="AI2" t="s">
        <v>80</v>
      </c>
      <c r="AJ2" t="s">
        <v>82</v>
      </c>
      <c r="AK2" t="s">
        <v>84</v>
      </c>
      <c r="AL2" t="s">
        <v>98</v>
      </c>
      <c r="AM2" t="s">
        <v>100</v>
      </c>
      <c r="AN2" t="s">
        <v>102</v>
      </c>
      <c r="AO2" t="s">
        <v>104</v>
      </c>
      <c r="AP2" t="s">
        <v>106</v>
      </c>
      <c r="AQ2" t="s">
        <v>32</v>
      </c>
      <c r="AR2" t="s">
        <v>108</v>
      </c>
      <c r="AS2" t="s">
        <v>110</v>
      </c>
      <c r="AT2" t="s">
        <v>94</v>
      </c>
      <c r="AU2" t="s">
        <v>96</v>
      </c>
      <c r="AV2" t="s">
        <v>92</v>
      </c>
      <c r="AW2" t="s">
        <v>112</v>
      </c>
      <c r="AX2" t="s">
        <v>114</v>
      </c>
      <c r="AY2" t="s">
        <v>86</v>
      </c>
      <c r="AZ2" t="s">
        <v>116</v>
      </c>
      <c r="BA2" t="s">
        <v>30</v>
      </c>
      <c r="BB2" t="s">
        <v>28</v>
      </c>
      <c r="BC2" t="s">
        <v>118</v>
      </c>
      <c r="BD2" t="s">
        <v>26</v>
      </c>
      <c r="BE2" t="s">
        <v>120</v>
      </c>
      <c r="BF2" t="s">
        <v>122</v>
      </c>
      <c r="BG2" t="s">
        <v>124</v>
      </c>
      <c r="BH2" t="s">
        <v>126</v>
      </c>
      <c r="BI2" t="s">
        <v>44</v>
      </c>
      <c r="BJ2" t="s">
        <v>136</v>
      </c>
      <c r="BK2" t="s">
        <v>138</v>
      </c>
      <c r="BL2" t="s">
        <v>140</v>
      </c>
      <c r="BM2" t="s">
        <v>142</v>
      </c>
      <c r="BN2" t="s">
        <v>144</v>
      </c>
      <c r="BO2" t="s">
        <v>128</v>
      </c>
      <c r="BP2" t="s">
        <v>146</v>
      </c>
      <c r="BQ2" t="s">
        <v>148</v>
      </c>
      <c r="BR2" t="s">
        <v>150</v>
      </c>
      <c r="BS2" t="s">
        <v>130</v>
      </c>
      <c r="BT2" t="s">
        <v>152</v>
      </c>
      <c r="BU2" t="s">
        <v>88</v>
      </c>
      <c r="BV2" t="s">
        <v>154</v>
      </c>
      <c r="BW2" t="s">
        <v>90</v>
      </c>
      <c r="BX2" t="s">
        <v>156</v>
      </c>
      <c r="BY2" t="s">
        <v>132</v>
      </c>
      <c r="BZ2" t="s">
        <v>46</v>
      </c>
      <c r="CA2" t="s">
        <v>158</v>
      </c>
      <c r="CB2" t="s">
        <v>160</v>
      </c>
      <c r="CC2" t="s">
        <v>162</v>
      </c>
      <c r="CD2" t="s">
        <v>164</v>
      </c>
      <c r="CE2" t="s">
        <v>166</v>
      </c>
      <c r="CF2" t="s">
        <v>168</v>
      </c>
      <c r="CG2" t="s">
        <v>170</v>
      </c>
      <c r="CH2" t="s">
        <v>172</v>
      </c>
      <c r="CI2" t="s">
        <v>174</v>
      </c>
      <c r="CJ2" t="s">
        <v>176</v>
      </c>
      <c r="CK2" t="s">
        <v>178</v>
      </c>
      <c r="CL2" t="s">
        <v>180</v>
      </c>
      <c r="CM2" t="s">
        <v>134</v>
      </c>
      <c r="CN2" t="s">
        <v>182</v>
      </c>
      <c r="CO2" t="s">
        <v>184</v>
      </c>
      <c r="CP2" t="s">
        <v>186</v>
      </c>
      <c r="CQ2" t="s">
        <v>188</v>
      </c>
      <c r="CR2" t="s">
        <v>190</v>
      </c>
      <c r="CS2" t="s">
        <v>192</v>
      </c>
      <c r="CT2" t="s">
        <v>194</v>
      </c>
      <c r="CU2" t="s">
        <v>196</v>
      </c>
      <c r="CV2" t="s">
        <v>198</v>
      </c>
      <c r="CW2" t="s">
        <v>200</v>
      </c>
      <c r="CX2" t="s">
        <v>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16DD7-01DC-4CEE-B7E5-F3A0470AD894}">
  <sheetPr>
    <tabColor rgb="FF00B0F0"/>
  </sheetPr>
  <dimension ref="A1:BF155"/>
  <sheetViews>
    <sheetView tabSelected="1" zoomScale="99" zoomScaleNormal="99" workbookViewId="0">
      <pane xSplit="6" ySplit="5" topLeftCell="J57" activePane="bottomRight" state="frozen"/>
      <selection pane="topRight" activeCell="G1" sqref="G1"/>
      <selection pane="bottomLeft" activeCell="A5" sqref="A5"/>
      <selection pane="bottomRight" activeCell="O63" sqref="O63"/>
    </sheetView>
  </sheetViews>
  <sheetFormatPr defaultColWidth="9.109375" defaultRowHeight="11.4"/>
  <cols>
    <col min="1" max="1" width="15.33203125" style="16" customWidth="1"/>
    <col min="2" max="2" width="10.6640625" style="16" customWidth="1"/>
    <col min="3" max="3" width="35.88671875" style="16" customWidth="1"/>
    <col min="4" max="4" width="23" style="16" customWidth="1"/>
    <col min="5" max="5" width="10.33203125" style="16" customWidth="1"/>
    <col min="6" max="6" width="3.88671875" style="16" bestFit="1" customWidth="1"/>
    <col min="7" max="7" width="14.6640625" style="16" bestFit="1" customWidth="1"/>
    <col min="8" max="8" width="17.33203125" style="16" customWidth="1"/>
    <col min="9" max="9" width="19.44140625" style="16" customWidth="1"/>
    <col min="10" max="10" width="21.109375" style="16" customWidth="1"/>
    <col min="11" max="11" width="21.6640625" style="16" customWidth="1"/>
    <col min="12" max="12" width="20.21875" style="16" customWidth="1"/>
    <col min="13" max="14" width="15" style="16" customWidth="1"/>
    <col min="15" max="15" width="16.33203125" style="16" customWidth="1"/>
    <col min="16" max="16" width="20.44140625" style="16" customWidth="1"/>
    <col min="17" max="17" width="15.5546875" style="16" customWidth="1"/>
    <col min="18" max="18" width="21" style="16" customWidth="1"/>
    <col min="19" max="24" width="14.88671875" style="16" customWidth="1"/>
    <col min="25" max="25" width="14.6640625" style="16" bestFit="1" customWidth="1"/>
    <col min="26" max="26" width="14" style="16" bestFit="1" customWidth="1"/>
    <col min="27" max="28" width="14.6640625" style="16" bestFit="1" customWidth="1"/>
    <col min="29" max="58" width="14.44140625" style="16" customWidth="1"/>
    <col min="59" max="16384" width="9.109375" style="16"/>
  </cols>
  <sheetData>
    <row r="1" spans="1:58" ht="21.6" thickBot="1">
      <c r="A1" s="17"/>
      <c r="B1" s="17" t="s">
        <v>211</v>
      </c>
      <c r="C1" s="18"/>
      <c r="D1" s="29" t="s">
        <v>209</v>
      </c>
      <c r="E1" s="34"/>
      <c r="F1" s="7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</row>
    <row r="2" spans="1:58" ht="21.6" thickBot="1">
      <c r="A2" s="20"/>
      <c r="B2" s="20" t="s">
        <v>212</v>
      </c>
      <c r="C2" s="32"/>
      <c r="D2" s="33" t="s">
        <v>218</v>
      </c>
      <c r="E2" s="35"/>
      <c r="F2" s="74"/>
      <c r="G2" s="36">
        <f t="shared" ref="G2:AL2" si="0">SUMPRODUCT($E$6:$E$84,G6:G84)</f>
        <v>0</v>
      </c>
      <c r="H2" s="36">
        <f t="shared" si="0"/>
        <v>0</v>
      </c>
      <c r="I2" s="36">
        <f t="shared" si="0"/>
        <v>0</v>
      </c>
      <c r="J2" s="36">
        <f t="shared" si="0"/>
        <v>1805</v>
      </c>
      <c r="K2" s="36">
        <f t="shared" si="0"/>
        <v>800</v>
      </c>
      <c r="L2" s="36">
        <f>SUMPRODUCT($E$6:$E$84,L6:L84)</f>
        <v>1805</v>
      </c>
      <c r="M2" s="36">
        <f t="shared" si="0"/>
        <v>6110</v>
      </c>
      <c r="N2" s="36">
        <f t="shared" si="0"/>
        <v>0</v>
      </c>
      <c r="O2" s="36">
        <f t="shared" si="0"/>
        <v>800</v>
      </c>
      <c r="P2" s="36">
        <f t="shared" si="0"/>
        <v>0</v>
      </c>
      <c r="Q2" s="36">
        <f t="shared" si="0"/>
        <v>0</v>
      </c>
      <c r="R2" s="36">
        <f t="shared" si="0"/>
        <v>0</v>
      </c>
      <c r="S2" s="36">
        <f t="shared" si="0"/>
        <v>0</v>
      </c>
      <c r="T2" s="36">
        <f t="shared" si="0"/>
        <v>0</v>
      </c>
      <c r="U2" s="36">
        <f t="shared" si="0"/>
        <v>0</v>
      </c>
      <c r="V2" s="36">
        <f t="shared" si="0"/>
        <v>0</v>
      </c>
      <c r="W2" s="36">
        <f t="shared" si="0"/>
        <v>0</v>
      </c>
      <c r="X2" s="36">
        <f t="shared" si="0"/>
        <v>0</v>
      </c>
      <c r="Y2" s="36">
        <f t="shared" si="0"/>
        <v>0</v>
      </c>
      <c r="Z2" s="36">
        <f t="shared" si="0"/>
        <v>0</v>
      </c>
      <c r="AA2" s="36">
        <f t="shared" si="0"/>
        <v>0</v>
      </c>
      <c r="AB2" s="36">
        <f t="shared" si="0"/>
        <v>0</v>
      </c>
      <c r="AC2" s="36">
        <f t="shared" si="0"/>
        <v>0</v>
      </c>
      <c r="AD2" s="36">
        <f t="shared" si="0"/>
        <v>0</v>
      </c>
      <c r="AE2" s="36">
        <f t="shared" si="0"/>
        <v>0</v>
      </c>
      <c r="AF2" s="36">
        <f t="shared" si="0"/>
        <v>0</v>
      </c>
      <c r="AG2" s="36">
        <f t="shared" si="0"/>
        <v>0</v>
      </c>
      <c r="AH2" s="36">
        <f t="shared" si="0"/>
        <v>0</v>
      </c>
      <c r="AI2" s="36">
        <f t="shared" si="0"/>
        <v>0</v>
      </c>
      <c r="AJ2" s="36">
        <f t="shared" si="0"/>
        <v>0</v>
      </c>
      <c r="AK2" s="36">
        <f t="shared" si="0"/>
        <v>0</v>
      </c>
      <c r="AL2" s="36">
        <f t="shared" si="0"/>
        <v>0</v>
      </c>
      <c r="AM2" s="36">
        <f t="shared" ref="AM2:BF2" si="1">SUMPRODUCT($E$6:$E$84,AM6:AM84)</f>
        <v>0</v>
      </c>
      <c r="AN2" s="36">
        <f t="shared" si="1"/>
        <v>0</v>
      </c>
      <c r="AO2" s="36">
        <f t="shared" si="1"/>
        <v>0</v>
      </c>
      <c r="AP2" s="36">
        <f t="shared" si="1"/>
        <v>0</v>
      </c>
      <c r="AQ2" s="36">
        <f t="shared" si="1"/>
        <v>0</v>
      </c>
      <c r="AR2" s="36">
        <f t="shared" si="1"/>
        <v>0</v>
      </c>
      <c r="AS2" s="36">
        <f t="shared" si="1"/>
        <v>0</v>
      </c>
      <c r="AT2" s="36">
        <f t="shared" si="1"/>
        <v>0</v>
      </c>
      <c r="AU2" s="36">
        <f t="shared" si="1"/>
        <v>0</v>
      </c>
      <c r="AV2" s="36">
        <f t="shared" si="1"/>
        <v>0</v>
      </c>
      <c r="AW2" s="36">
        <f t="shared" si="1"/>
        <v>0</v>
      </c>
      <c r="AX2" s="36">
        <f t="shared" si="1"/>
        <v>0</v>
      </c>
      <c r="AY2" s="36">
        <f t="shared" si="1"/>
        <v>0</v>
      </c>
      <c r="AZ2" s="36">
        <f t="shared" si="1"/>
        <v>0</v>
      </c>
      <c r="BA2" s="36">
        <f t="shared" si="1"/>
        <v>0</v>
      </c>
      <c r="BB2" s="36">
        <f t="shared" si="1"/>
        <v>0</v>
      </c>
      <c r="BC2" s="36">
        <f t="shared" si="1"/>
        <v>0</v>
      </c>
      <c r="BD2" s="36">
        <f t="shared" si="1"/>
        <v>0</v>
      </c>
      <c r="BE2" s="36">
        <f t="shared" si="1"/>
        <v>0</v>
      </c>
      <c r="BF2" s="36">
        <f t="shared" si="1"/>
        <v>0</v>
      </c>
    </row>
    <row r="3" spans="1:58" s="19" customFormat="1" ht="45" customHeight="1" thickBot="1">
      <c r="A3" s="20"/>
      <c r="B3" s="20"/>
      <c r="C3" s="21"/>
      <c r="D3" s="30"/>
      <c r="E3" s="63"/>
      <c r="F3" s="73"/>
      <c r="G3" s="75"/>
      <c r="H3" s="76"/>
      <c r="I3" s="77"/>
      <c r="J3" s="75" t="s">
        <v>358</v>
      </c>
      <c r="K3" s="75" t="s">
        <v>369</v>
      </c>
      <c r="L3" s="75" t="s">
        <v>358</v>
      </c>
      <c r="M3" s="6" t="s">
        <v>359</v>
      </c>
      <c r="N3" s="6" t="s">
        <v>359</v>
      </c>
      <c r="O3" s="6" t="s">
        <v>359</v>
      </c>
      <c r="P3" s="6" t="s">
        <v>359</v>
      </c>
      <c r="Q3" s="6" t="s">
        <v>360</v>
      </c>
      <c r="R3" s="6" t="s">
        <v>360</v>
      </c>
      <c r="S3" s="6" t="s">
        <v>207</v>
      </c>
      <c r="T3" s="6" t="s">
        <v>207</v>
      </c>
      <c r="U3" s="6" t="s">
        <v>207</v>
      </c>
      <c r="V3" s="6" t="s">
        <v>207</v>
      </c>
      <c r="W3" s="6" t="s">
        <v>207</v>
      </c>
      <c r="X3" s="6" t="s">
        <v>207</v>
      </c>
      <c r="Y3" s="6" t="s">
        <v>207</v>
      </c>
      <c r="Z3" s="6" t="s">
        <v>207</v>
      </c>
      <c r="AA3" s="6" t="s">
        <v>207</v>
      </c>
      <c r="AB3" s="6" t="s">
        <v>207</v>
      </c>
      <c r="AC3" s="6" t="s">
        <v>207</v>
      </c>
      <c r="AD3" s="6" t="s">
        <v>207</v>
      </c>
      <c r="AE3" s="6" t="s">
        <v>207</v>
      </c>
      <c r="AF3" s="6" t="s">
        <v>207</v>
      </c>
      <c r="AG3" s="6" t="s">
        <v>207</v>
      </c>
      <c r="AH3" s="7" t="s">
        <v>207</v>
      </c>
      <c r="AI3" s="7" t="s">
        <v>207</v>
      </c>
      <c r="AJ3" s="7" t="s">
        <v>207</v>
      </c>
      <c r="AK3" s="7" t="s">
        <v>207</v>
      </c>
      <c r="AL3" s="7" t="s">
        <v>207</v>
      </c>
      <c r="AM3" s="7" t="s">
        <v>207</v>
      </c>
      <c r="AN3" s="7" t="s">
        <v>207</v>
      </c>
      <c r="AO3" s="7" t="s">
        <v>207</v>
      </c>
      <c r="AP3" s="7" t="s">
        <v>207</v>
      </c>
      <c r="AQ3" s="7" t="s">
        <v>207</v>
      </c>
      <c r="AR3" s="7" t="s">
        <v>207</v>
      </c>
      <c r="AS3" s="7" t="s">
        <v>207</v>
      </c>
      <c r="AT3" s="7" t="s">
        <v>207</v>
      </c>
      <c r="AU3" s="7" t="s">
        <v>207</v>
      </c>
      <c r="AV3" s="7" t="s">
        <v>207</v>
      </c>
      <c r="AW3" s="7" t="s">
        <v>207</v>
      </c>
      <c r="AX3" s="7" t="s">
        <v>207</v>
      </c>
      <c r="AY3" s="7" t="s">
        <v>207</v>
      </c>
      <c r="AZ3" s="7" t="s">
        <v>207</v>
      </c>
      <c r="BA3" s="7" t="s">
        <v>207</v>
      </c>
      <c r="BB3" s="7" t="s">
        <v>207</v>
      </c>
      <c r="BC3" s="7" t="s">
        <v>207</v>
      </c>
      <c r="BD3" s="7" t="s">
        <v>207</v>
      </c>
      <c r="BE3" s="7" t="s">
        <v>207</v>
      </c>
      <c r="BF3" s="7" t="s">
        <v>207</v>
      </c>
    </row>
    <row r="4" spans="1:58" s="22" customFormat="1" ht="103.8" customHeight="1" thickBot="1">
      <c r="A4" s="56" t="s">
        <v>357</v>
      </c>
      <c r="B4" s="23" t="s">
        <v>214</v>
      </c>
      <c r="C4" s="24" t="s">
        <v>206</v>
      </c>
      <c r="D4" s="23" t="s">
        <v>213</v>
      </c>
      <c r="E4" s="64" t="s">
        <v>215</v>
      </c>
      <c r="F4" s="70" t="s">
        <v>216</v>
      </c>
      <c r="G4" s="78"/>
      <c r="H4" s="79"/>
      <c r="I4" s="79"/>
      <c r="J4" s="80" t="s">
        <v>361</v>
      </c>
      <c r="K4" s="81" t="s">
        <v>370</v>
      </c>
      <c r="L4" s="82" t="s">
        <v>362</v>
      </c>
      <c r="M4" s="83" t="s">
        <v>363</v>
      </c>
      <c r="N4" s="84" t="s">
        <v>364</v>
      </c>
      <c r="O4" s="84" t="s">
        <v>365</v>
      </c>
      <c r="P4" s="85" t="s">
        <v>366</v>
      </c>
      <c r="Q4" s="84" t="s">
        <v>367</v>
      </c>
      <c r="R4" s="6" t="s">
        <v>371</v>
      </c>
      <c r="S4" s="8" t="s">
        <v>210</v>
      </c>
      <c r="T4" s="8" t="s">
        <v>210</v>
      </c>
      <c r="U4" s="8" t="s">
        <v>210</v>
      </c>
      <c r="V4" s="8" t="s">
        <v>210</v>
      </c>
      <c r="W4" s="8" t="s">
        <v>210</v>
      </c>
      <c r="X4" s="8" t="s">
        <v>210</v>
      </c>
      <c r="Y4" s="8" t="s">
        <v>210</v>
      </c>
      <c r="Z4" s="8" t="s">
        <v>210</v>
      </c>
      <c r="AA4" s="8" t="s">
        <v>210</v>
      </c>
      <c r="AB4" s="8" t="s">
        <v>210</v>
      </c>
      <c r="AC4" s="8" t="s">
        <v>210</v>
      </c>
      <c r="AD4" s="8" t="s">
        <v>210</v>
      </c>
      <c r="AE4" s="8" t="s">
        <v>210</v>
      </c>
      <c r="AF4" s="8" t="s">
        <v>210</v>
      </c>
      <c r="AG4" s="8" t="s">
        <v>210</v>
      </c>
      <c r="AH4" s="8" t="s">
        <v>210</v>
      </c>
      <c r="AI4" s="8" t="s">
        <v>210</v>
      </c>
      <c r="AJ4" s="8" t="s">
        <v>210</v>
      </c>
      <c r="AK4" s="8" t="s">
        <v>210</v>
      </c>
      <c r="AL4" s="8" t="s">
        <v>210</v>
      </c>
      <c r="AM4" s="8" t="s">
        <v>210</v>
      </c>
      <c r="AN4" s="8" t="s">
        <v>210</v>
      </c>
      <c r="AO4" s="8" t="s">
        <v>210</v>
      </c>
      <c r="AP4" s="8" t="s">
        <v>210</v>
      </c>
      <c r="AQ4" s="8" t="s">
        <v>210</v>
      </c>
      <c r="AR4" s="8" t="s">
        <v>210</v>
      </c>
      <c r="AS4" s="8" t="s">
        <v>210</v>
      </c>
      <c r="AT4" s="8" t="s">
        <v>210</v>
      </c>
      <c r="AU4" s="8" t="s">
        <v>210</v>
      </c>
      <c r="AV4" s="8" t="s">
        <v>210</v>
      </c>
      <c r="AW4" s="8" t="s">
        <v>210</v>
      </c>
      <c r="AX4" s="8" t="s">
        <v>210</v>
      </c>
      <c r="AY4" s="8" t="s">
        <v>210</v>
      </c>
      <c r="AZ4" s="8" t="s">
        <v>210</v>
      </c>
      <c r="BA4" s="8" t="s">
        <v>210</v>
      </c>
      <c r="BB4" s="8" t="s">
        <v>210</v>
      </c>
      <c r="BC4" s="8" t="s">
        <v>210</v>
      </c>
      <c r="BD4" s="8" t="s">
        <v>210</v>
      </c>
      <c r="BE4" s="8" t="s">
        <v>210</v>
      </c>
      <c r="BF4" s="8" t="s">
        <v>210</v>
      </c>
    </row>
    <row r="5" spans="1:58" ht="15" thickBot="1">
      <c r="A5" s="25"/>
      <c r="B5" s="25"/>
      <c r="C5" s="26"/>
      <c r="D5" s="31"/>
      <c r="E5" s="65"/>
      <c r="F5" s="71"/>
      <c r="G5" s="87"/>
      <c r="H5" s="88"/>
      <c r="I5" s="88"/>
      <c r="J5" s="89">
        <v>157128653</v>
      </c>
      <c r="K5" s="90">
        <v>157138368</v>
      </c>
      <c r="L5" s="91">
        <v>157128652</v>
      </c>
      <c r="M5" s="92">
        <v>157092027</v>
      </c>
      <c r="N5" s="93">
        <v>157091842</v>
      </c>
      <c r="O5" s="93">
        <v>157092028</v>
      </c>
      <c r="P5" s="94">
        <v>157092029</v>
      </c>
      <c r="Q5" s="93">
        <v>157091840</v>
      </c>
      <c r="R5" s="93">
        <v>157091840</v>
      </c>
      <c r="S5" s="9" t="s">
        <v>208</v>
      </c>
      <c r="T5" s="9" t="s">
        <v>208</v>
      </c>
      <c r="U5" s="9" t="s">
        <v>208</v>
      </c>
      <c r="V5" s="9" t="s">
        <v>208</v>
      </c>
      <c r="W5" s="9" t="s">
        <v>208</v>
      </c>
      <c r="X5" s="9" t="s">
        <v>208</v>
      </c>
      <c r="Y5" s="9" t="s">
        <v>208</v>
      </c>
      <c r="Z5" s="9" t="s">
        <v>208</v>
      </c>
      <c r="AA5" s="9" t="s">
        <v>208</v>
      </c>
      <c r="AB5" s="9" t="s">
        <v>208</v>
      </c>
      <c r="AC5" s="9" t="s">
        <v>208</v>
      </c>
      <c r="AD5" s="9" t="s">
        <v>208</v>
      </c>
      <c r="AE5" s="9" t="s">
        <v>208</v>
      </c>
      <c r="AF5" s="9" t="s">
        <v>208</v>
      </c>
      <c r="AG5" s="9" t="s">
        <v>208</v>
      </c>
      <c r="AH5" s="9" t="s">
        <v>208</v>
      </c>
      <c r="AI5" s="9" t="s">
        <v>208</v>
      </c>
      <c r="AJ5" s="9" t="s">
        <v>208</v>
      </c>
      <c r="AK5" s="9" t="s">
        <v>208</v>
      </c>
      <c r="AL5" s="9" t="s">
        <v>208</v>
      </c>
      <c r="AM5" s="9" t="s">
        <v>208</v>
      </c>
      <c r="AN5" s="9" t="s">
        <v>208</v>
      </c>
      <c r="AO5" s="9" t="s">
        <v>208</v>
      </c>
      <c r="AP5" s="9" t="s">
        <v>208</v>
      </c>
      <c r="AQ5" s="9" t="s">
        <v>208</v>
      </c>
      <c r="AR5" s="9" t="s">
        <v>208</v>
      </c>
      <c r="AS5" s="9" t="s">
        <v>208</v>
      </c>
      <c r="AT5" s="9" t="s">
        <v>208</v>
      </c>
      <c r="AU5" s="9" t="s">
        <v>208</v>
      </c>
      <c r="AV5" s="9" t="s">
        <v>208</v>
      </c>
      <c r="AW5" s="9" t="s">
        <v>208</v>
      </c>
      <c r="AX5" s="9" t="s">
        <v>208</v>
      </c>
      <c r="AY5" s="9" t="s">
        <v>208</v>
      </c>
      <c r="AZ5" s="9" t="s">
        <v>208</v>
      </c>
      <c r="BA5" s="9" t="s">
        <v>208</v>
      </c>
      <c r="BB5" s="9" t="s">
        <v>208</v>
      </c>
      <c r="BC5" s="9" t="s">
        <v>208</v>
      </c>
      <c r="BD5" s="9" t="s">
        <v>208</v>
      </c>
      <c r="BE5" s="9" t="s">
        <v>208</v>
      </c>
      <c r="BF5" s="9" t="s">
        <v>208</v>
      </c>
    </row>
    <row r="6" spans="1:58" ht="12">
      <c r="A6" s="27"/>
      <c r="B6" s="27">
        <v>1</v>
      </c>
      <c r="C6" s="100" t="s">
        <v>271</v>
      </c>
      <c r="D6" s="2" t="str">
        <f>IFERROR(VLOOKUP(C6,'Article Master'!A:C,3,0),"")</f>
        <v>089026</v>
      </c>
      <c r="E6" s="66">
        <f>IFERROR(VLOOKUP(C6,'Article Master'!A:D,4,0),"")</f>
        <v>925.83</v>
      </c>
      <c r="F6" s="68">
        <v>0</v>
      </c>
      <c r="G6" s="10"/>
      <c r="H6" s="11"/>
      <c r="I6" s="11"/>
      <c r="J6" s="11"/>
      <c r="K6" s="12"/>
      <c r="L6" s="12"/>
      <c r="M6" s="12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</row>
    <row r="7" spans="1:58">
      <c r="A7" s="28"/>
      <c r="B7" s="28">
        <v>2</v>
      </c>
      <c r="C7" s="101" t="s">
        <v>225</v>
      </c>
      <c r="D7" s="2" t="str">
        <f>IFERROR(VLOOKUP(C7,'Article Master'!A:C,3,0),"")</f>
        <v>0892072</v>
      </c>
      <c r="E7" s="67">
        <f>IFERROR(VLOOKUP(C7,'Article Master'!A:D,4,0),"")</f>
        <v>750</v>
      </c>
      <c r="F7" s="68">
        <v>0</v>
      </c>
      <c r="G7" s="10"/>
      <c r="H7" s="11"/>
      <c r="I7" s="11"/>
      <c r="J7" s="11"/>
      <c r="K7" s="11"/>
      <c r="L7" s="11"/>
      <c r="M7" s="11">
        <v>2</v>
      </c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</row>
    <row r="8" spans="1:58" s="19" customFormat="1" ht="12">
      <c r="A8" s="28"/>
      <c r="B8" s="28">
        <v>3</v>
      </c>
      <c r="C8" s="101" t="s">
        <v>233</v>
      </c>
      <c r="D8" s="2" t="str">
        <f>IFERROR(VLOOKUP(C8,'Article Master'!A:C,3,0),"")</f>
        <v>0892075200</v>
      </c>
      <c r="E8" s="67">
        <f>IFERROR(VLOOKUP(C8,'Article Master'!A:D,4,0),"")</f>
        <v>900</v>
      </c>
      <c r="F8" s="68">
        <v>0</v>
      </c>
      <c r="G8" s="10"/>
      <c r="H8" s="11"/>
      <c r="I8" s="11"/>
      <c r="J8" s="14"/>
      <c r="K8" s="14"/>
      <c r="L8" s="14"/>
      <c r="M8" s="14">
        <v>2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>
      <c r="A9" s="27"/>
      <c r="B9" s="27">
        <v>4</v>
      </c>
      <c r="C9" s="96" t="s">
        <v>231</v>
      </c>
      <c r="D9" s="2" t="str">
        <f>IFERROR(VLOOKUP(C9,'Article Master'!A:C,3,0),"")</f>
        <v>0893151101</v>
      </c>
      <c r="E9" s="67">
        <f>IFERROR(VLOOKUP(C9,'Article Master'!A:D,4,0),"")</f>
        <v>1000</v>
      </c>
      <c r="F9" s="68">
        <v>0</v>
      </c>
      <c r="G9" s="10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</row>
    <row r="10" spans="1:58">
      <c r="A10" s="28"/>
      <c r="B10" s="28">
        <v>5</v>
      </c>
      <c r="C10" s="96" t="s">
        <v>259</v>
      </c>
      <c r="D10" s="2" t="str">
        <f>IFERROR(VLOOKUP(C10,'Article Master'!A:C,3,0),"")</f>
        <v>08911063</v>
      </c>
      <c r="E10" s="67">
        <f>IFERROR(VLOOKUP(C10,'Article Master'!A:D,4,0),"")</f>
        <v>4250</v>
      </c>
      <c r="F10" s="68">
        <v>0</v>
      </c>
      <c r="G10" s="10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</row>
    <row r="11" spans="1:58" ht="13.2">
      <c r="A11" s="27"/>
      <c r="B11" s="27">
        <v>6</v>
      </c>
      <c r="C11" s="97" t="s">
        <v>350</v>
      </c>
      <c r="D11" s="2" t="str">
        <f>IFERROR(VLOOKUP(C11,'Article Master'!A:C,3,0),"")</f>
        <v>0893152001</v>
      </c>
      <c r="E11" s="67">
        <f>IFERROR(VLOOKUP(C11,'Article Master'!A:D,4,0),"")</f>
        <v>1000</v>
      </c>
      <c r="F11" s="68">
        <v>0</v>
      </c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</row>
    <row r="12" spans="1:58">
      <c r="A12" s="28"/>
      <c r="B12" s="28">
        <v>7</v>
      </c>
      <c r="C12" s="96" t="s">
        <v>235</v>
      </c>
      <c r="D12" s="2" t="str">
        <f>IFERROR(VLOOKUP(C12,'Article Master'!A:C,3,0),"")</f>
        <v>0893463001</v>
      </c>
      <c r="E12" s="67">
        <f>IFERROR(VLOOKUP(C12,'Article Master'!A:D,4,0),"")</f>
        <v>1250</v>
      </c>
      <c r="F12" s="68">
        <v>0</v>
      </c>
      <c r="G12" s="10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</row>
    <row r="13" spans="1:58">
      <c r="A13" s="28"/>
      <c r="B13" s="28">
        <v>8</v>
      </c>
      <c r="C13" s="37" t="s">
        <v>222</v>
      </c>
      <c r="D13" s="2" t="str">
        <f>IFERROR(VLOOKUP(C13,'Article Master'!A:C,3,0),"")</f>
        <v>0893221525</v>
      </c>
      <c r="E13" s="67">
        <f>IFERROR(VLOOKUP(C13,'Article Master'!A:D,4,0),"")</f>
        <v>255</v>
      </c>
      <c r="F13" s="68">
        <v>0</v>
      </c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</row>
    <row r="14" spans="1:58" s="19" customFormat="1" ht="13.5" customHeight="1">
      <c r="A14" s="27"/>
      <c r="B14" s="27">
        <v>9</v>
      </c>
      <c r="C14" s="37" t="s">
        <v>275</v>
      </c>
      <c r="D14" s="2" t="str">
        <f>IFERROR(VLOOKUP(C14,'Article Master'!A:C,3,0),"")</f>
        <v>0992068024</v>
      </c>
      <c r="E14" s="67">
        <f>IFERROR(VLOOKUP(C14,'Article Master'!A:D,4,0),"")</f>
        <v>40</v>
      </c>
      <c r="F14" s="68">
        <v>0</v>
      </c>
      <c r="G14" s="10"/>
      <c r="H14" s="14"/>
      <c r="I14" s="11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ht="13.5" customHeight="1">
      <c r="A15" s="28"/>
      <c r="B15" s="27">
        <v>10</v>
      </c>
      <c r="C15" s="102" t="s">
        <v>226</v>
      </c>
      <c r="D15" s="2" t="str">
        <f>IFERROR(VLOOKUP(C15,'Article Master'!A:C,3,0),"")</f>
        <v>0893477121</v>
      </c>
      <c r="E15" s="67">
        <f>IFERROR(VLOOKUP(C15,'Article Master'!A:D,4,0),"")</f>
        <v>400</v>
      </c>
      <c r="F15" s="68">
        <v>0</v>
      </c>
      <c r="G15" s="10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</row>
    <row r="16" spans="1:58" ht="13.5" customHeight="1">
      <c r="A16" s="28"/>
      <c r="B16" s="28">
        <v>11</v>
      </c>
      <c r="C16" s="98" t="s">
        <v>43</v>
      </c>
      <c r="D16" s="2" t="str">
        <f>IFERROR(VLOOKUP(C16,'Article Master'!A:C,3,0),"")</f>
        <v>NDI0000196</v>
      </c>
      <c r="E16" s="67">
        <f>IFERROR(VLOOKUP(C16,'Article Master'!A:D,4,0),"")</f>
        <v>1085</v>
      </c>
      <c r="F16" s="68">
        <v>0</v>
      </c>
      <c r="G16" s="10"/>
      <c r="H16" s="11"/>
      <c r="I16" s="11"/>
      <c r="J16" s="15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</row>
    <row r="17" spans="1:58" ht="12">
      <c r="A17" s="27"/>
      <c r="B17" s="28">
        <v>12</v>
      </c>
      <c r="C17" s="99" t="s">
        <v>223</v>
      </c>
      <c r="D17" s="2" t="str">
        <f>IFERROR(VLOOKUP(C17,'Article Master'!A:C,3,0),"")</f>
        <v>0893033</v>
      </c>
      <c r="E17" s="67">
        <f>IFERROR(VLOOKUP(C17,'Article Master'!A:D,4,0),"")</f>
        <v>465</v>
      </c>
      <c r="F17" s="68">
        <v>0</v>
      </c>
      <c r="G17" s="10"/>
      <c r="H17" s="14"/>
      <c r="I17" s="14"/>
      <c r="J17" s="14"/>
      <c r="K17" s="14"/>
      <c r="L17" s="14"/>
      <c r="M17" s="14"/>
      <c r="N17" s="14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4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</row>
    <row r="18" spans="1:58" s="19" customFormat="1" ht="12">
      <c r="A18" s="27"/>
      <c r="B18" s="27">
        <v>13</v>
      </c>
      <c r="C18" s="37" t="s">
        <v>258</v>
      </c>
      <c r="D18" s="2" t="str">
        <f>IFERROR(VLOOKUP(C18,'Article Master'!A:C,3,0),"")</f>
        <v>089347421</v>
      </c>
      <c r="E18" s="67">
        <f>IFERROR(VLOOKUP(C18,'Article Master'!A:D,4,0),"")</f>
        <v>335</v>
      </c>
      <c r="F18" s="68">
        <v>0</v>
      </c>
      <c r="G18" s="13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</row>
    <row r="19" spans="1:58" ht="12">
      <c r="A19" s="28"/>
      <c r="B19" s="28">
        <v>14</v>
      </c>
      <c r="C19" s="37" t="s">
        <v>129</v>
      </c>
      <c r="D19" s="2" t="str">
        <f>IFERROR(VLOOKUP(C19,'Article Master'!A:C,3,0),"")</f>
        <v>NDI0000103</v>
      </c>
      <c r="E19" s="67">
        <f>IFERROR(VLOOKUP(C19,'Article Master'!A:D,4,0),"")</f>
        <v>174.75</v>
      </c>
      <c r="F19" s="68">
        <v>0</v>
      </c>
      <c r="G19" s="10"/>
      <c r="H19" s="14"/>
      <c r="I19" s="14"/>
      <c r="J19" s="14"/>
      <c r="K19" s="14"/>
      <c r="L19" s="14"/>
      <c r="M19" s="14"/>
      <c r="N19" s="14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4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</row>
    <row r="20" spans="1:58" ht="12">
      <c r="A20" s="28"/>
      <c r="B20" s="27">
        <v>15</v>
      </c>
      <c r="C20" s="37" t="s">
        <v>27</v>
      </c>
      <c r="D20" s="2" t="str">
        <f>IFERROR(VLOOKUP(C20,'Article Master'!A:C,3,0),"")</f>
        <v>5997661901</v>
      </c>
      <c r="E20" s="67">
        <f>IFERROR(VLOOKUP(C20,'Article Master'!A:D,4,0),"")</f>
        <v>250</v>
      </c>
      <c r="F20" s="68">
        <v>0</v>
      </c>
      <c r="G20" s="10"/>
      <c r="H20" s="14"/>
      <c r="I20" s="14"/>
      <c r="J20" s="14"/>
      <c r="K20" s="14"/>
      <c r="L20" s="14"/>
      <c r="M20" s="14"/>
      <c r="N20" s="14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4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s="19" customFormat="1" ht="12">
      <c r="A21" s="27"/>
      <c r="B21" s="28">
        <v>16</v>
      </c>
      <c r="C21" s="37" t="s">
        <v>55</v>
      </c>
      <c r="D21" s="2" t="str">
        <f>IFERROR(VLOOKUP(C21,'Article Master'!A:C,3,0),"")</f>
        <v>NDI0000131</v>
      </c>
      <c r="E21" s="67">
        <f>IFERROR(VLOOKUP(C21,'Article Master'!A:D,4,0),"")</f>
        <v>878</v>
      </c>
      <c r="F21" s="68">
        <v>0</v>
      </c>
      <c r="G21" s="13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</row>
    <row r="22" spans="1:58" ht="12">
      <c r="A22" s="28"/>
      <c r="B22" s="28">
        <v>17</v>
      </c>
      <c r="C22" s="98" t="s">
        <v>37</v>
      </c>
      <c r="D22" s="2" t="str">
        <f>IFERROR(VLOOKUP(C22,'Article Master'!A:C,3,0),"")</f>
        <v>NDI0000188</v>
      </c>
      <c r="E22" s="67">
        <f>IFERROR(VLOOKUP(C22,'Article Master'!A:D,4,0),"")</f>
        <v>1085</v>
      </c>
      <c r="F22" s="68">
        <v>0</v>
      </c>
      <c r="G22" s="10"/>
      <c r="H22" s="14"/>
      <c r="I22" s="14"/>
      <c r="J22" s="14"/>
      <c r="K22" s="14"/>
      <c r="L22" s="14"/>
      <c r="M22" s="14"/>
      <c r="N22" s="14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4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</row>
    <row r="23" spans="1:58" ht="12">
      <c r="A23" s="28"/>
      <c r="B23" s="27">
        <v>18</v>
      </c>
      <c r="C23" s="100" t="s">
        <v>277</v>
      </c>
      <c r="D23" s="2" t="str">
        <f>IFERROR(VLOOKUP(C23,'Article Master'!A:C,3,0),"")</f>
        <v>0890121525</v>
      </c>
      <c r="E23" s="67">
        <f>IFERROR(VLOOKUP(C23,'Article Master'!A:D,4,0),"")</f>
        <v>350</v>
      </c>
      <c r="F23" s="68">
        <v>0</v>
      </c>
      <c r="G23" s="10"/>
      <c r="H23" s="14"/>
      <c r="I23" s="14"/>
      <c r="J23" s="14"/>
      <c r="K23" s="14"/>
      <c r="L23" s="14"/>
      <c r="M23" s="14"/>
      <c r="N23" s="14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4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</row>
    <row r="24" spans="1:58" s="19" customFormat="1" ht="12">
      <c r="A24" s="27"/>
      <c r="B24" s="27">
        <v>19</v>
      </c>
      <c r="C24" s="37" t="s">
        <v>23</v>
      </c>
      <c r="D24" s="2" t="str">
        <f>IFERROR(VLOOKUP(C24,'Article Master'!A:C,3,0),"")</f>
        <v>0893764158</v>
      </c>
      <c r="E24" s="67">
        <f>IFERROR(VLOOKUP(C24,'Article Master'!A:D,4,0),"")</f>
        <v>550</v>
      </c>
      <c r="F24" s="68">
        <v>0</v>
      </c>
      <c r="G24" s="13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</row>
    <row r="25" spans="1:58" ht="12">
      <c r="A25" s="28"/>
      <c r="B25" s="28">
        <v>20</v>
      </c>
      <c r="C25" s="37" t="s">
        <v>221</v>
      </c>
      <c r="D25" s="2" t="str">
        <f>IFERROR(VLOOKUP(C25,'Article Master'!A:C,3,0),"")</f>
        <v>0899900050</v>
      </c>
      <c r="E25" s="67">
        <f>IFERROR(VLOOKUP(C25,'Article Master'!A:D,4,0),"")</f>
        <v>149</v>
      </c>
      <c r="F25" s="68">
        <v>0</v>
      </c>
      <c r="G25" s="10"/>
      <c r="H25" s="14"/>
      <c r="I25" s="14"/>
      <c r="J25" s="14"/>
      <c r="K25" s="14"/>
      <c r="L25" s="14"/>
      <c r="M25" s="14"/>
      <c r="N25" s="14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4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</row>
    <row r="26" spans="1:58" ht="14.1" customHeight="1">
      <c r="A26" s="28"/>
      <c r="B26" s="28">
        <v>21</v>
      </c>
      <c r="C26" s="101" t="s">
        <v>59</v>
      </c>
      <c r="D26" s="2" t="str">
        <f>IFERROR(VLOOKUP(C26,'Article Master'!A:C,3,0),"")</f>
        <v>5997633518</v>
      </c>
      <c r="E26" s="67">
        <f>IFERROR(VLOOKUP(C26,'Article Master'!A:D,4,0),"")</f>
        <v>4630.5</v>
      </c>
      <c r="F26" s="68">
        <v>0</v>
      </c>
      <c r="G26" s="10"/>
      <c r="H26" s="14"/>
      <c r="I26" s="14"/>
      <c r="J26" s="14"/>
      <c r="K26" s="14"/>
      <c r="L26" s="14"/>
      <c r="M26" s="14"/>
      <c r="N26" s="14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4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</row>
    <row r="27" spans="1:58" ht="14.1" customHeight="1">
      <c r="A27" s="27"/>
      <c r="B27" s="27">
        <v>22</v>
      </c>
      <c r="C27" s="37" t="s">
        <v>107</v>
      </c>
      <c r="D27" s="2" t="str">
        <f>IFERROR(VLOOKUP(C27,'Article Master'!A:C,3,0),"")</f>
        <v>5997661621</v>
      </c>
      <c r="E27" s="67">
        <f>IFERROR(VLOOKUP(C27,'Article Master'!A:D,4,0),"")</f>
        <v>320.10000000000002</v>
      </c>
      <c r="F27" s="68">
        <v>0</v>
      </c>
      <c r="G27" s="10"/>
      <c r="H27" s="14"/>
      <c r="I27" s="14"/>
      <c r="J27" s="14"/>
      <c r="K27" s="14"/>
      <c r="L27" s="14"/>
      <c r="M27" s="14"/>
      <c r="N27" s="14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4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</row>
    <row r="28" spans="1:58" ht="14.1" customHeight="1">
      <c r="A28" s="28"/>
      <c r="B28" s="28">
        <v>23</v>
      </c>
      <c r="C28" s="37" t="s">
        <v>232</v>
      </c>
      <c r="D28" s="2" t="str">
        <f>IFERROR(VLOOKUP(C28,'Article Master'!A:C,3,0),"")</f>
        <v>0893113120</v>
      </c>
      <c r="E28" s="67">
        <f>IFERROR(VLOOKUP(C28,'Article Master'!A:D,4,0),"")</f>
        <v>348</v>
      </c>
      <c r="F28" s="68">
        <v>0</v>
      </c>
      <c r="G28" s="10"/>
      <c r="H28" s="14"/>
      <c r="I28" s="14"/>
      <c r="J28" s="14"/>
      <c r="K28" s="14"/>
      <c r="L28" s="14"/>
      <c r="M28" s="14"/>
      <c r="N28" s="14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4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</row>
    <row r="29" spans="1:58" ht="14.1" customHeight="1">
      <c r="A29" s="28"/>
      <c r="B29" s="27">
        <v>24</v>
      </c>
      <c r="C29" s="37" t="s">
        <v>278</v>
      </c>
      <c r="D29" s="2" t="str">
        <f>IFERROR(VLOOKUP(C29,'Article Master'!A:C,3,0),"")</f>
        <v>0893114113</v>
      </c>
      <c r="E29" s="67">
        <f>IFERROR(VLOOKUP(C29,'Article Master'!A:D,4,0),"")</f>
        <v>900.15</v>
      </c>
      <c r="F29" s="68">
        <v>0</v>
      </c>
      <c r="G29" s="10"/>
      <c r="H29" s="14"/>
      <c r="I29" s="14"/>
      <c r="J29" s="14"/>
      <c r="K29" s="14"/>
      <c r="L29" s="14"/>
      <c r="M29" s="14"/>
      <c r="N29" s="14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4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</row>
    <row r="30" spans="1:58" ht="14.1" customHeight="1">
      <c r="A30" s="27"/>
      <c r="B30" s="28">
        <v>25</v>
      </c>
      <c r="C30" s="37" t="s">
        <v>242</v>
      </c>
      <c r="D30" s="2" t="str">
        <f>IFERROR(VLOOKUP(C30,'Article Master'!A:C,3,0),"")</f>
        <v>0893022003</v>
      </c>
      <c r="E30" s="67">
        <f>IFERROR(VLOOKUP(C30,'Article Master'!A:D,4,0),"")</f>
        <v>1027</v>
      </c>
      <c r="F30" s="68">
        <v>0</v>
      </c>
      <c r="G30" s="10"/>
      <c r="H30" s="14"/>
      <c r="I30" s="14"/>
      <c r="J30" s="14"/>
      <c r="K30" s="14"/>
      <c r="L30" s="14"/>
      <c r="M30" s="14"/>
      <c r="N30" s="14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4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</row>
    <row r="31" spans="1:58" ht="14.1" customHeight="1">
      <c r="A31" s="27"/>
      <c r="B31" s="28">
        <v>26</v>
      </c>
      <c r="C31" s="37" t="s">
        <v>229</v>
      </c>
      <c r="D31" s="2" t="str">
        <f>IFERROR(VLOOKUP(C31,'Article Master'!A:C,3,0),"")</f>
        <v>0892082105</v>
      </c>
      <c r="E31" s="67">
        <f>IFERROR(VLOOKUP(C31,'Article Master'!A:D,4,0),"")</f>
        <v>1450</v>
      </c>
      <c r="F31" s="68">
        <v>0</v>
      </c>
      <c r="G31" s="10"/>
      <c r="H31" s="14"/>
      <c r="I31" s="14"/>
      <c r="J31" s="14"/>
      <c r="K31" s="14"/>
      <c r="L31" s="14"/>
      <c r="M31" s="14"/>
      <c r="N31" s="14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4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</row>
    <row r="32" spans="1:58" ht="14.1" customHeight="1">
      <c r="A32" s="28"/>
      <c r="B32" s="27">
        <v>27</v>
      </c>
      <c r="C32" s="37" t="s">
        <v>255</v>
      </c>
      <c r="D32" s="2" t="str">
        <f>IFERROR(VLOOKUP(C32,'Article Master'!A:C,3,0),"")</f>
        <v>0893764310</v>
      </c>
      <c r="E32" s="67">
        <f>IFERROR(VLOOKUP(C32,'Article Master'!A:D,4,0),"")</f>
        <v>525</v>
      </c>
      <c r="F32" s="68">
        <v>0</v>
      </c>
      <c r="G32" s="10"/>
      <c r="H32" s="14"/>
      <c r="I32" s="14"/>
      <c r="J32" s="14"/>
      <c r="K32" s="14"/>
      <c r="L32" s="14"/>
      <c r="M32" s="14"/>
      <c r="N32" s="14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4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</row>
    <row r="33" spans="1:58" ht="12">
      <c r="A33" s="28"/>
      <c r="B33" s="27">
        <v>28</v>
      </c>
      <c r="C33" s="103" t="s">
        <v>260</v>
      </c>
      <c r="D33" s="2" t="str">
        <f>IFERROR(VLOOKUP(C33,'Article Master'!A:C,3,0),"")</f>
        <v>089940407</v>
      </c>
      <c r="E33" s="67">
        <f>IFERROR(VLOOKUP(C33,'Article Master'!A:D,4,0),"")</f>
        <v>13</v>
      </c>
      <c r="F33" s="68">
        <v>0</v>
      </c>
      <c r="G33" s="10"/>
      <c r="H33" s="14"/>
      <c r="I33" s="14"/>
      <c r="J33" s="14"/>
      <c r="K33" s="14"/>
      <c r="L33" s="14"/>
      <c r="M33" s="14"/>
      <c r="N33" s="14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4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</row>
    <row r="34" spans="1:58" ht="12">
      <c r="A34" s="27"/>
      <c r="B34" s="28">
        <v>29</v>
      </c>
      <c r="C34" s="37" t="s">
        <v>246</v>
      </c>
      <c r="D34" s="2" t="str">
        <f>IFERROR(VLOOKUP(C34,'Article Master'!A:C,3,0),"")</f>
        <v>0893150020</v>
      </c>
      <c r="E34" s="67">
        <f>IFERROR(VLOOKUP(C34,'Article Master'!A:D,4,0),"")</f>
        <v>3559</v>
      </c>
      <c r="F34" s="68">
        <v>0</v>
      </c>
      <c r="G34" s="10"/>
      <c r="H34" s="14"/>
      <c r="I34" s="14"/>
      <c r="J34" s="14"/>
      <c r="K34" s="14"/>
      <c r="L34" s="14"/>
      <c r="M34" s="14"/>
      <c r="N34" s="14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4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ht="12">
      <c r="A35" s="28"/>
      <c r="B35" s="28">
        <v>30</v>
      </c>
      <c r="C35" s="37" t="s">
        <v>253</v>
      </c>
      <c r="D35" s="2" t="str">
        <f>IFERROR(VLOOKUP(C35,'Article Master'!A:C,3,0),"")</f>
        <v>0893477125</v>
      </c>
      <c r="E35" s="67">
        <f>IFERROR(VLOOKUP(C35,'Article Master'!A:D,4,0),"")</f>
        <v>1650</v>
      </c>
      <c r="F35" s="68">
        <v>0</v>
      </c>
      <c r="G35" s="10"/>
      <c r="H35" s="14"/>
      <c r="I35" s="14"/>
      <c r="J35" s="14"/>
      <c r="K35" s="14"/>
      <c r="L35" s="14"/>
      <c r="M35" s="14"/>
      <c r="N35" s="14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4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9" customFormat="1" ht="12">
      <c r="A36" s="28"/>
      <c r="B36" s="27">
        <v>31</v>
      </c>
      <c r="C36" s="37" t="s">
        <v>234</v>
      </c>
      <c r="D36" s="2" t="str">
        <f>IFERROR(VLOOKUP(C36,'Article Master'!A:C,3,0),"")</f>
        <v>089012 505</v>
      </c>
      <c r="E36" s="67">
        <f>IFERROR(VLOOKUP(C36,'Article Master'!A:D,4,0),"")</f>
        <v>2150</v>
      </c>
      <c r="F36" s="68">
        <v>0</v>
      </c>
      <c r="G36" s="13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</row>
    <row r="37" spans="1:58" ht="12">
      <c r="A37" s="27"/>
      <c r="B37" s="28">
        <v>32</v>
      </c>
      <c r="C37" s="37" t="s">
        <v>257</v>
      </c>
      <c r="D37" s="2" t="str">
        <f>IFERROR(VLOOKUP(C37,'Article Master'!A:C,3,0),"")</f>
        <v>0584112000</v>
      </c>
      <c r="E37" s="67">
        <f>IFERROR(VLOOKUP(C37,'Article Master'!A:D,4,0),"")</f>
        <v>37</v>
      </c>
      <c r="F37" s="68">
        <v>0</v>
      </c>
      <c r="G37" s="10"/>
      <c r="H37" s="14"/>
      <c r="I37" s="14"/>
      <c r="J37" s="14"/>
      <c r="K37" s="14"/>
      <c r="L37" s="14"/>
      <c r="M37" s="14"/>
      <c r="N37" s="14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4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ht="12">
      <c r="A38" s="28"/>
      <c r="B38" s="27">
        <v>33</v>
      </c>
      <c r="C38" s="37" t="s">
        <v>281</v>
      </c>
      <c r="D38" s="2" t="str">
        <f>IFERROR(VLOOKUP(C38,'Article Master'!A:C,3,0),"")</f>
        <v>0891502003</v>
      </c>
      <c r="E38" s="67">
        <f>IFERROR(VLOOKUP(C38,'Article Master'!A:D,4,0),"")</f>
        <v>425.25</v>
      </c>
      <c r="F38" s="68">
        <v>0</v>
      </c>
      <c r="G38" s="10"/>
      <c r="H38" s="14"/>
      <c r="I38" s="14"/>
      <c r="J38" s="14"/>
      <c r="K38" s="14"/>
      <c r="L38" s="14"/>
      <c r="M38" s="14"/>
      <c r="N38" s="14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4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ht="12">
      <c r="A39" s="28"/>
      <c r="B39" s="28">
        <v>34</v>
      </c>
      <c r="C39" s="37" t="s">
        <v>41</v>
      </c>
      <c r="D39" s="2" t="str">
        <f>IFERROR(VLOOKUP(C39,'Article Master'!A:C,3,0),"")</f>
        <v>0893118825</v>
      </c>
      <c r="E39" s="67">
        <f>IFERROR(VLOOKUP(C39,'Article Master'!A:D,4,0),"")</f>
        <v>2499</v>
      </c>
      <c r="F39" s="68">
        <v>0</v>
      </c>
      <c r="G39" s="10"/>
      <c r="H39" s="14"/>
      <c r="I39" s="14"/>
      <c r="J39" s="14"/>
      <c r="K39" s="14"/>
      <c r="L39" s="14"/>
      <c r="M39" s="14"/>
      <c r="N39" s="14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4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ht="12">
      <c r="A40" s="27"/>
      <c r="B40" s="28">
        <v>35</v>
      </c>
      <c r="C40" s="37" t="s">
        <v>240</v>
      </c>
      <c r="D40" s="2" t="str">
        <f>IFERROR(VLOOKUP(C40,'Article Master'!A:C,3,0),"")</f>
        <v>0891503001</v>
      </c>
      <c r="E40" s="67">
        <f>IFERROR(VLOOKUP(C40,'Article Master'!A:D,4,0),"")</f>
        <v>2954.05</v>
      </c>
      <c r="F40" s="68">
        <v>0</v>
      </c>
      <c r="G40" s="10"/>
      <c r="H40" s="14"/>
      <c r="I40" s="14"/>
      <c r="J40" s="14"/>
      <c r="K40" s="14"/>
      <c r="L40" s="14"/>
      <c r="M40" s="14"/>
      <c r="N40" s="14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4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ht="12">
      <c r="A41" s="27"/>
      <c r="B41" s="27">
        <v>36</v>
      </c>
      <c r="C41" s="37" t="s">
        <v>260</v>
      </c>
      <c r="D41" s="2" t="str">
        <f>IFERROR(VLOOKUP(C41,'Article Master'!A:C,3,0),"")</f>
        <v>089940407</v>
      </c>
      <c r="E41" s="67">
        <f>IFERROR(VLOOKUP(C41,'Article Master'!A:D,4,0),"")</f>
        <v>13</v>
      </c>
      <c r="F41" s="68">
        <v>0</v>
      </c>
      <c r="G41" s="10"/>
      <c r="H41" s="14"/>
      <c r="I41" s="14"/>
      <c r="J41" s="14"/>
      <c r="K41" s="14"/>
      <c r="L41" s="14"/>
      <c r="M41" s="14"/>
      <c r="N41" s="14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4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ht="12">
      <c r="A42" s="28"/>
      <c r="B42" s="27">
        <v>37</v>
      </c>
      <c r="C42" s="96" t="s">
        <v>345</v>
      </c>
      <c r="D42" s="2" t="str">
        <f>IFERROR(VLOOKUP(C42,'Article Master'!A:C,3,0),"")</f>
        <v>0891503360961    1</v>
      </c>
      <c r="E42" s="67">
        <f>IFERROR(VLOOKUP(C42,'Article Master'!A:D,4,0),"")</f>
        <v>3128.13</v>
      </c>
      <c r="F42" s="68">
        <v>0</v>
      </c>
      <c r="G42" s="10"/>
      <c r="H42" s="14"/>
      <c r="I42" s="14"/>
      <c r="J42" s="14"/>
      <c r="K42" s="14"/>
      <c r="L42" s="14"/>
      <c r="M42" s="14"/>
      <c r="N42" s="14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4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ht="12">
      <c r="A43" s="28"/>
      <c r="B43" s="28">
        <v>38</v>
      </c>
      <c r="C43" s="105" t="s">
        <v>71</v>
      </c>
      <c r="D43" s="2" t="str">
        <f>IFERROR(VLOOKUP(C43,'Article Master'!A:C,3,0),"")</f>
        <v>NDI0000091</v>
      </c>
      <c r="E43" s="67">
        <f>IFERROR(VLOOKUP(C43,'Article Master'!A:D,4,0),"")</f>
        <v>5200</v>
      </c>
      <c r="F43" s="68">
        <v>0</v>
      </c>
      <c r="G43" s="10"/>
      <c r="H43" s="14"/>
      <c r="I43" s="14"/>
      <c r="J43" s="14"/>
      <c r="K43" s="14"/>
      <c r="L43" s="14"/>
      <c r="M43" s="14"/>
      <c r="N43" s="14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4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ht="12">
      <c r="A44" s="27"/>
      <c r="B44" s="28">
        <v>39</v>
      </c>
      <c r="C44" s="96" t="s">
        <v>167</v>
      </c>
      <c r="D44" s="2" t="str">
        <f>IFERROR(VLOOKUP(C44,'Article Master'!A:C,3,0),"")</f>
        <v>5997661902</v>
      </c>
      <c r="E44" s="67">
        <f>IFERROR(VLOOKUP(C44,'Article Master'!A:D,4,0),"")</f>
        <v>1105</v>
      </c>
      <c r="F44" s="68">
        <v>0</v>
      </c>
      <c r="G44" s="10"/>
      <c r="H44" s="14"/>
      <c r="I44" s="14"/>
      <c r="J44" s="14"/>
      <c r="K44" s="14"/>
      <c r="L44" s="14"/>
      <c r="M44" s="14"/>
      <c r="N44" s="14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4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9" customFormat="1" ht="12">
      <c r="A45" s="27"/>
      <c r="B45" s="27">
        <v>40</v>
      </c>
      <c r="C45" s="96" t="s">
        <v>9</v>
      </c>
      <c r="D45" s="2" t="str">
        <f>IFERROR(VLOOKUP(C45,'Article Master'!A:C,3,0),"")</f>
        <v>5997655753</v>
      </c>
      <c r="E45" s="67">
        <f>IFERROR(VLOOKUP(C45,'Article Master'!A:D,4,0),"")</f>
        <v>1750</v>
      </c>
      <c r="F45" s="68">
        <v>0</v>
      </c>
      <c r="G45" s="13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</row>
    <row r="46" spans="1:58" ht="12">
      <c r="A46" s="28"/>
      <c r="B46" s="28">
        <v>41</v>
      </c>
      <c r="C46" s="104" t="s">
        <v>107</v>
      </c>
      <c r="D46" s="2" t="str">
        <f>IFERROR(VLOOKUP(C46,'Article Master'!A:C,3,0),"")</f>
        <v>5997661621</v>
      </c>
      <c r="E46" s="67">
        <f>IFERROR(VLOOKUP(C46,'Article Master'!A:D,4,0),"")</f>
        <v>320.10000000000002</v>
      </c>
      <c r="F46" s="68">
        <v>0</v>
      </c>
      <c r="G46" s="10"/>
      <c r="H46" s="14"/>
      <c r="I46" s="14"/>
      <c r="J46" s="14"/>
      <c r="K46" s="14"/>
      <c r="L46" s="14"/>
      <c r="M46" s="14"/>
      <c r="N46" s="14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4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9" customFormat="1" ht="12">
      <c r="A47" s="28"/>
      <c r="B47" s="27">
        <v>42</v>
      </c>
      <c r="C47" s="37" t="s">
        <v>23</v>
      </c>
      <c r="D47" s="2" t="str">
        <f>IFERROR(VLOOKUP(C47,'Article Master'!A:C,3,0),"")</f>
        <v>0893764158</v>
      </c>
      <c r="E47" s="67">
        <f>IFERROR(VLOOKUP(C47,'Article Master'!A:D,4,0),"")</f>
        <v>550</v>
      </c>
      <c r="F47" s="68">
        <v>0</v>
      </c>
      <c r="G47" s="13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</row>
    <row r="48" spans="1:58" ht="12">
      <c r="A48" s="27"/>
      <c r="B48" s="28">
        <v>43</v>
      </c>
      <c r="C48" s="37" t="s">
        <v>353</v>
      </c>
      <c r="D48" s="2" t="str">
        <f>IFERROR(VLOOKUP(C48,'Article Master'!A:C,3,0),"")</f>
        <v>0899700005</v>
      </c>
      <c r="E48" s="67">
        <f>IFERROR(VLOOKUP(C48,'Article Master'!A:D,4,0),"")</f>
        <v>48</v>
      </c>
      <c r="F48" s="68">
        <v>0</v>
      </c>
      <c r="G48" s="10"/>
      <c r="H48" s="14"/>
      <c r="I48" s="14"/>
      <c r="J48" s="14"/>
      <c r="K48" s="14"/>
      <c r="L48" s="14"/>
      <c r="M48" s="14"/>
      <c r="N48" s="14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4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9" customFormat="1" ht="12">
      <c r="A49" s="28"/>
      <c r="B49" s="28">
        <v>44</v>
      </c>
      <c r="C49" s="37" t="s">
        <v>239</v>
      </c>
      <c r="D49" s="2" t="str">
        <f>IFERROR(VLOOKUP(C49,'Article Master'!A:C,3,0),"")</f>
        <v>0893476</v>
      </c>
      <c r="E49" s="67">
        <f>IFERROR(VLOOKUP(C49,'Article Master'!A:D,4,0),"")</f>
        <v>1200.2</v>
      </c>
      <c r="F49" s="68">
        <v>0</v>
      </c>
      <c r="G49" s="13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</row>
    <row r="50" spans="1:58" ht="12">
      <c r="A50" s="28"/>
      <c r="B50" s="27">
        <v>45</v>
      </c>
      <c r="C50" s="37" t="s">
        <v>41</v>
      </c>
      <c r="D50" s="2" t="str">
        <f>IFERROR(VLOOKUP(C50,'Article Master'!A:C,3,0),"")</f>
        <v>0893118825</v>
      </c>
      <c r="E50" s="67">
        <f>IFERROR(VLOOKUP(C50,'Article Master'!A:D,4,0),"")</f>
        <v>2499</v>
      </c>
      <c r="F50" s="68">
        <v>0</v>
      </c>
      <c r="G50" s="10"/>
      <c r="H50" s="14"/>
      <c r="I50" s="14"/>
      <c r="J50" s="14"/>
      <c r="K50" s="14"/>
      <c r="L50" s="14"/>
      <c r="M50" s="14"/>
      <c r="N50" s="14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4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</row>
    <row r="51" spans="1:58" ht="12">
      <c r="A51" s="27"/>
      <c r="B51" s="27">
        <v>46</v>
      </c>
      <c r="C51" s="37" t="s">
        <v>224</v>
      </c>
      <c r="D51" s="2" t="str">
        <f>IFERROR(VLOOKUP(C51,'Article Master'!A:C,3,0),"")</f>
        <v>0892077150</v>
      </c>
      <c r="E51" s="67">
        <f>IFERROR(VLOOKUP(C51,'Article Master'!A:D,4,0),"")</f>
        <v>800</v>
      </c>
      <c r="F51" s="68">
        <v>0</v>
      </c>
      <c r="G51" s="10"/>
      <c r="H51" s="14"/>
      <c r="I51" s="14"/>
      <c r="J51" s="14">
        <v>1</v>
      </c>
      <c r="K51" s="14">
        <v>1</v>
      </c>
      <c r="L51" s="14">
        <v>1</v>
      </c>
      <c r="M51" s="14">
        <v>1</v>
      </c>
      <c r="N51" s="14"/>
      <c r="O51" s="11">
        <v>1</v>
      </c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4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</row>
    <row r="52" spans="1:58" ht="12">
      <c r="A52" s="28"/>
      <c r="B52" s="28">
        <v>47</v>
      </c>
      <c r="C52" s="37" t="s">
        <v>227</v>
      </c>
      <c r="D52" s="2" t="str">
        <f>IFERROR(VLOOKUP(C52,'Article Master'!A:C,3,0),"")</f>
        <v>5717010010</v>
      </c>
      <c r="E52" s="67">
        <f>IFERROR(VLOOKUP(C52,'Article Master'!A:D,4,0),"")</f>
        <v>18000</v>
      </c>
      <c r="F52" s="68">
        <v>0</v>
      </c>
      <c r="G52" s="10"/>
      <c r="H52" s="14"/>
      <c r="I52" s="14"/>
      <c r="J52" s="14"/>
      <c r="K52" s="14"/>
      <c r="L52" s="14"/>
      <c r="M52" s="14"/>
      <c r="N52" s="14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4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</row>
    <row r="53" spans="1:58" s="19" customFormat="1" ht="12">
      <c r="A53" s="28"/>
      <c r="B53" s="28">
        <v>48</v>
      </c>
      <c r="C53" s="37" t="s">
        <v>221</v>
      </c>
      <c r="D53" s="2" t="str">
        <f>IFERROR(VLOOKUP(C53,'Article Master'!A:C,3,0),"")</f>
        <v>0899900050</v>
      </c>
      <c r="E53" s="67">
        <f>IFERROR(VLOOKUP(C53,'Article Master'!A:D,4,0),"")</f>
        <v>149</v>
      </c>
      <c r="F53" s="68">
        <v>0</v>
      </c>
      <c r="G53" s="13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</row>
    <row r="54" spans="1:58" ht="12">
      <c r="A54" s="27"/>
      <c r="B54" s="27">
        <v>49</v>
      </c>
      <c r="C54" s="37" t="s">
        <v>1</v>
      </c>
      <c r="D54" s="2" t="str">
        <f>IFERROR(VLOOKUP(C54,'Article Master'!A:C,3,0),"")</f>
        <v>5997600792</v>
      </c>
      <c r="E54" s="67">
        <f>IFERROR(VLOOKUP(C54,'Article Master'!A:D,4,0),"")</f>
        <v>12000</v>
      </c>
      <c r="F54" s="68">
        <v>0</v>
      </c>
      <c r="G54" s="10"/>
      <c r="H54" s="14"/>
      <c r="I54" s="14"/>
      <c r="J54" s="14"/>
      <c r="K54" s="14"/>
      <c r="L54" s="14"/>
      <c r="M54" s="14"/>
      <c r="N54" s="14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4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</row>
    <row r="55" spans="1:58" ht="12">
      <c r="A55" s="28"/>
      <c r="B55" s="28">
        <v>50</v>
      </c>
      <c r="C55" s="37" t="s">
        <v>340</v>
      </c>
      <c r="D55" s="2" t="str">
        <f>IFERROR(VLOOKUP(C55,'Article Master'!A:C,3,0),"")</f>
        <v>NDI0000197990    1</v>
      </c>
      <c r="E55" s="67">
        <f>IFERROR(VLOOKUP(C55,'Article Master'!A:D,4,0),"")</f>
        <v>2000.05</v>
      </c>
      <c r="F55" s="68">
        <v>0</v>
      </c>
      <c r="G55" s="10"/>
      <c r="H55" s="14"/>
      <c r="I55" s="14"/>
      <c r="J55" s="14"/>
      <c r="K55" s="14"/>
      <c r="L55" s="14"/>
      <c r="M55" s="14"/>
      <c r="N55" s="14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4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</row>
    <row r="56" spans="1:58" ht="12">
      <c r="A56" s="28"/>
      <c r="B56" s="27">
        <v>51</v>
      </c>
      <c r="C56" s="37" t="s">
        <v>77</v>
      </c>
      <c r="D56" s="2" t="str">
        <f>IFERROR(VLOOKUP(C56,'Article Master'!A:C,3,0),"")</f>
        <v>NDI0000132</v>
      </c>
      <c r="E56" s="67">
        <f>IFERROR(VLOOKUP(C56,'Article Master'!A:D,4,0),"")</f>
        <v>175</v>
      </c>
      <c r="F56" s="68">
        <v>0</v>
      </c>
      <c r="G56" s="10"/>
      <c r="H56" s="14"/>
      <c r="I56" s="14"/>
      <c r="J56" s="14"/>
      <c r="K56" s="14"/>
      <c r="L56" s="14"/>
      <c r="M56" s="14"/>
      <c r="N56" s="14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4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</row>
    <row r="57" spans="1:58" ht="12">
      <c r="A57" s="27"/>
      <c r="B57" s="28">
        <v>52</v>
      </c>
      <c r="C57" s="37" t="s">
        <v>259</v>
      </c>
      <c r="D57" s="2" t="str">
        <f>IFERROR(VLOOKUP(C57,'Article Master'!A:C,3,0),"")</f>
        <v>08911063</v>
      </c>
      <c r="E57" s="67">
        <f>IFERROR(VLOOKUP(C57,'Article Master'!A:D,4,0),"")</f>
        <v>4250</v>
      </c>
      <c r="F57" s="68">
        <v>0</v>
      </c>
      <c r="G57" s="10"/>
      <c r="H57" s="14"/>
      <c r="I57" s="14"/>
      <c r="J57" s="14"/>
      <c r="K57" s="14"/>
      <c r="L57" s="14"/>
      <c r="M57" s="14"/>
      <c r="N57" s="14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4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</row>
    <row r="58" spans="1:58" ht="12">
      <c r="A58" s="27"/>
      <c r="B58" s="28">
        <v>53</v>
      </c>
      <c r="C58" s="37" t="s">
        <v>282</v>
      </c>
      <c r="D58" s="2" t="str">
        <f>IFERROR(VLOOKUP(C58,'Article Master'!A:C,3,0),"")</f>
        <v>08902205</v>
      </c>
      <c r="E58" s="67">
        <f>IFERROR(VLOOKUP(C58,'Article Master'!A:D,4,0),"")</f>
        <v>1500.25</v>
      </c>
      <c r="F58" s="68">
        <v>0</v>
      </c>
      <c r="G58" s="10"/>
      <c r="H58" s="14"/>
      <c r="I58" s="14"/>
      <c r="J58" s="14"/>
      <c r="K58" s="14"/>
      <c r="L58" s="14"/>
      <c r="M58" s="14"/>
      <c r="N58" s="14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4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</row>
    <row r="59" spans="1:58" s="19" customFormat="1" ht="21" customHeight="1">
      <c r="A59" s="28"/>
      <c r="B59" s="27">
        <v>54</v>
      </c>
      <c r="C59" s="37" t="s">
        <v>264</v>
      </c>
      <c r="D59" s="2" t="str">
        <f>IFERROR(VLOOKUP(C59,'Article Master'!A:C,3,0),"")</f>
        <v>0899700400</v>
      </c>
      <c r="E59" s="67">
        <f>IFERROR(VLOOKUP(C59,'Article Master'!A:D,4,0),"")</f>
        <v>194.37</v>
      </c>
      <c r="F59" s="68">
        <v>0</v>
      </c>
      <c r="G59" s="13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</row>
    <row r="60" spans="1:58" s="19" customFormat="1" ht="21.9" customHeight="1">
      <c r="A60" s="28"/>
      <c r="B60" s="27">
        <v>55</v>
      </c>
      <c r="C60" s="37" t="s">
        <v>240</v>
      </c>
      <c r="D60" s="2" t="str">
        <f>IFERROR(VLOOKUP(C60,'Article Master'!A:C,3,0),"")</f>
        <v>0891503001</v>
      </c>
      <c r="E60" s="67">
        <f>IFERROR(VLOOKUP(C60,'Article Master'!A:D,4,0),"")</f>
        <v>2954.05</v>
      </c>
      <c r="F60" s="68">
        <v>0</v>
      </c>
      <c r="G60" s="13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</row>
    <row r="61" spans="1:58" s="19" customFormat="1" ht="21.9" customHeight="1">
      <c r="A61" s="27"/>
      <c r="B61" s="28">
        <v>56</v>
      </c>
      <c r="C61" s="37" t="s">
        <v>161</v>
      </c>
      <c r="D61" s="2" t="str">
        <f>IFERROR(VLOOKUP(C61,'Article Master'!A:C,3,0),"")</f>
        <v>5997638643</v>
      </c>
      <c r="E61" s="67">
        <f>IFERROR(VLOOKUP(C61,'Article Master'!A:D,4,0),"")</f>
        <v>206.25</v>
      </c>
      <c r="F61" s="68">
        <v>0</v>
      </c>
      <c r="G61" s="13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</row>
    <row r="62" spans="1:58" s="19" customFormat="1" ht="21.9" customHeight="1">
      <c r="A62" s="28"/>
      <c r="B62" s="28">
        <v>57</v>
      </c>
      <c r="C62" s="37" t="s">
        <v>230</v>
      </c>
      <c r="D62" s="2" t="str">
        <f>IFERROR(VLOOKUP(C62,'Article Master'!A:C,3,0),"")</f>
        <v>0890104</v>
      </c>
      <c r="E62" s="67">
        <f>IFERROR(VLOOKUP(C62,'Article Master'!A:D,4,0),"")</f>
        <v>355</v>
      </c>
      <c r="F62" s="68">
        <v>0</v>
      </c>
      <c r="G62" s="13"/>
      <c r="H62" s="14"/>
      <c r="I62" s="14"/>
      <c r="J62" s="14">
        <v>1</v>
      </c>
      <c r="K62" s="14"/>
      <c r="L62" s="14">
        <v>1</v>
      </c>
      <c r="M62" s="14">
        <v>2</v>
      </c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</row>
    <row r="63" spans="1:58" ht="12">
      <c r="A63" s="28"/>
      <c r="B63" s="27">
        <v>58</v>
      </c>
      <c r="C63" s="37" t="s">
        <v>73</v>
      </c>
      <c r="D63" s="2" t="s">
        <v>72</v>
      </c>
      <c r="E63" s="67">
        <f>IFERROR(VLOOKUP(C63,'Article Master'!A:D,4,0),"")</f>
        <v>650</v>
      </c>
      <c r="F63" s="68">
        <v>0</v>
      </c>
      <c r="G63" s="10"/>
      <c r="H63" s="14"/>
      <c r="I63" s="14"/>
      <c r="J63" s="14">
        <v>1</v>
      </c>
      <c r="K63" s="14"/>
      <c r="L63" s="14">
        <v>1</v>
      </c>
      <c r="M63" s="14">
        <v>2</v>
      </c>
      <c r="N63" s="14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4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</row>
    <row r="64" spans="1:58" ht="12">
      <c r="A64" s="27"/>
      <c r="B64" s="28">
        <v>59</v>
      </c>
      <c r="C64" s="37" t="s">
        <v>344</v>
      </c>
      <c r="D64" s="2" t="str">
        <f>IFERROR(VLOOKUP(C64,'Article Master'!A:C,3,0),"")</f>
        <v>089012 500045    1</v>
      </c>
      <c r="E64" s="67">
        <f>IFERROR(VLOOKUP(C64,'Article Master'!A:D,4,0),"")</f>
        <v>350</v>
      </c>
      <c r="F64" s="68">
        <v>0</v>
      </c>
      <c r="G64" s="10"/>
      <c r="H64" s="14"/>
      <c r="I64" s="14"/>
      <c r="J64" s="14"/>
      <c r="K64" s="14"/>
      <c r="L64" s="14"/>
      <c r="M64" s="14"/>
      <c r="N64" s="14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4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</row>
    <row r="65" spans="1:58" ht="12">
      <c r="A65" s="28"/>
      <c r="B65" s="27">
        <v>60</v>
      </c>
      <c r="C65" s="37" t="s">
        <v>1</v>
      </c>
      <c r="D65" s="2" t="str">
        <f>IFERROR(VLOOKUP(C65,'Article Master'!A:C,3,0),"")</f>
        <v>5997600792</v>
      </c>
      <c r="E65" s="67">
        <f>IFERROR(VLOOKUP(C65,'Article Master'!A:D,4,0),"")</f>
        <v>12000</v>
      </c>
      <c r="F65" s="68">
        <v>0</v>
      </c>
      <c r="G65" s="10"/>
      <c r="H65" s="14"/>
      <c r="I65" s="14"/>
      <c r="J65" s="14"/>
      <c r="K65" s="14"/>
      <c r="L65" s="14"/>
      <c r="M65" s="14"/>
      <c r="N65" s="14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4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</row>
    <row r="66" spans="1:58" ht="12">
      <c r="A66" s="28"/>
      <c r="B66" s="28">
        <v>61</v>
      </c>
      <c r="C66" s="37" t="s">
        <v>179</v>
      </c>
      <c r="D66" s="2" t="str">
        <f>IFERROR(VLOOKUP(C66,'Article Master'!A:C,3,0),"")</f>
        <v>NDI0000198</v>
      </c>
      <c r="E66" s="67">
        <f>IFERROR(VLOOKUP(C66,'Article Master'!A:D,4,0),"")</f>
        <v>1500.25</v>
      </c>
      <c r="F66" s="68">
        <v>0</v>
      </c>
      <c r="G66" s="10"/>
      <c r="H66" s="14"/>
      <c r="I66" s="14"/>
      <c r="J66" s="14"/>
      <c r="K66" s="14"/>
      <c r="L66" s="14"/>
      <c r="M66" s="14"/>
      <c r="N66" s="14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4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</row>
    <row r="67" spans="1:58" ht="12">
      <c r="A67" s="27"/>
      <c r="B67" s="28">
        <v>62</v>
      </c>
      <c r="C67" s="37" t="s">
        <v>322</v>
      </c>
      <c r="D67" s="2" t="str">
        <f>IFERROR(VLOOKUP(C67,'Article Master'!A:C,3,0),"")</f>
        <v>0891703128961    1</v>
      </c>
      <c r="E67" s="67">
        <f>IFERROR(VLOOKUP(C67,'Article Master'!A:D,4,0),"")</f>
        <v>6335</v>
      </c>
      <c r="F67" s="68">
        <v>0</v>
      </c>
      <c r="G67" s="10"/>
      <c r="H67" s="14"/>
      <c r="I67" s="14"/>
      <c r="J67" s="14"/>
      <c r="K67" s="14"/>
      <c r="L67" s="14"/>
      <c r="M67" s="14"/>
      <c r="N67" s="14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4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</row>
    <row r="68" spans="1:58" ht="12">
      <c r="A68" s="28"/>
      <c r="B68" s="27">
        <v>63</v>
      </c>
      <c r="C68" s="37"/>
      <c r="D68" s="2" t="str">
        <f>IFERROR(VLOOKUP(C68,'Article Master'!A:C,3,0),"")</f>
        <v/>
      </c>
      <c r="E68" s="67" t="str">
        <f>IFERROR(VLOOKUP(C68,'Article Master'!A:D,4,0),"")</f>
        <v/>
      </c>
      <c r="F68" s="68">
        <v>0</v>
      </c>
      <c r="G68" s="10"/>
      <c r="H68" s="14"/>
      <c r="I68" s="14"/>
      <c r="J68" s="14"/>
      <c r="K68" s="14"/>
      <c r="L68" s="14"/>
      <c r="M68" s="14"/>
      <c r="N68" s="14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4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</row>
    <row r="69" spans="1:58" s="19" customFormat="1" ht="12">
      <c r="A69" s="28"/>
      <c r="B69" s="27">
        <v>64</v>
      </c>
      <c r="C69" s="37"/>
      <c r="D69" s="2" t="str">
        <f>IFERROR(VLOOKUP(C69,'Article Master'!A:C,3,0),"")</f>
        <v/>
      </c>
      <c r="E69" s="67" t="str">
        <f>IFERROR(VLOOKUP(C69,'Article Master'!A:D,4,0),"")</f>
        <v/>
      </c>
      <c r="F69" s="68">
        <v>0</v>
      </c>
      <c r="G69" s="13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</row>
    <row r="70" spans="1:58" ht="12">
      <c r="A70" s="27"/>
      <c r="B70" s="28">
        <v>65</v>
      </c>
      <c r="C70" s="37"/>
      <c r="D70" s="2" t="str">
        <f>IFERROR(VLOOKUP(C70,'Article Master'!A:C,3,0),"")</f>
        <v/>
      </c>
      <c r="E70" s="67" t="str">
        <f>IFERROR(VLOOKUP(C70,'Article Master'!A:D,4,0),"")</f>
        <v/>
      </c>
      <c r="F70" s="68">
        <v>0</v>
      </c>
      <c r="G70" s="10"/>
      <c r="H70" s="14"/>
      <c r="I70" s="14"/>
      <c r="J70" s="14"/>
      <c r="K70" s="14"/>
      <c r="L70" s="14"/>
      <c r="M70" s="14"/>
      <c r="N70" s="14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4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</row>
    <row r="71" spans="1:58" ht="12">
      <c r="A71" s="27"/>
      <c r="B71" s="28">
        <v>66</v>
      </c>
      <c r="C71" s="37"/>
      <c r="D71" s="2" t="str">
        <f>IFERROR(VLOOKUP(C71,'Article Master'!A:C,3,0),"")</f>
        <v/>
      </c>
      <c r="E71" s="67" t="str">
        <f>IFERROR(VLOOKUP(C71,'Article Master'!A:D,4,0),"")</f>
        <v/>
      </c>
      <c r="F71" s="68">
        <v>0</v>
      </c>
      <c r="G71" s="10"/>
      <c r="H71" s="14"/>
      <c r="I71" s="14"/>
      <c r="J71" s="14"/>
      <c r="K71" s="14"/>
      <c r="L71" s="14"/>
      <c r="M71" s="14"/>
      <c r="N71" s="14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4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</row>
    <row r="72" spans="1:58" ht="12">
      <c r="A72" s="28"/>
      <c r="B72" s="27">
        <v>67</v>
      </c>
      <c r="C72" s="37"/>
      <c r="D72" s="2" t="str">
        <f>IFERROR(VLOOKUP(C72,'Article Master'!A:C,3,0),"")</f>
        <v/>
      </c>
      <c r="E72" s="67" t="str">
        <f>IFERROR(VLOOKUP(C72,'Article Master'!A:D,4,0),"")</f>
        <v/>
      </c>
      <c r="F72" s="68">
        <v>0</v>
      </c>
      <c r="G72" s="10"/>
      <c r="H72" s="14"/>
      <c r="I72" s="14"/>
      <c r="J72" s="14"/>
      <c r="K72" s="14"/>
      <c r="L72" s="14"/>
      <c r="M72" s="14"/>
      <c r="N72" s="14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4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</row>
    <row r="73" spans="1:58" ht="12">
      <c r="A73" s="28"/>
      <c r="B73" s="28">
        <v>68</v>
      </c>
      <c r="C73" s="37"/>
      <c r="D73" s="2" t="str">
        <f>IFERROR(VLOOKUP(C73,'Article Master'!A:C,3,0),"")</f>
        <v/>
      </c>
      <c r="E73" s="67" t="str">
        <f>IFERROR(VLOOKUP(C73,'Article Master'!A:D,4,0),"")</f>
        <v/>
      </c>
      <c r="F73" s="68">
        <v>0</v>
      </c>
      <c r="G73" s="10"/>
      <c r="H73" s="14"/>
      <c r="I73" s="14"/>
      <c r="J73" s="14"/>
      <c r="K73" s="14"/>
      <c r="L73" s="14"/>
      <c r="M73" s="14"/>
      <c r="N73" s="14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4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</row>
    <row r="74" spans="1:58" ht="12">
      <c r="A74" s="27"/>
      <c r="B74" s="27">
        <v>69</v>
      </c>
      <c r="C74" s="37"/>
      <c r="D74" s="2" t="str">
        <f>IFERROR(VLOOKUP(C74,'Article Master'!A:C,3,0),"")</f>
        <v/>
      </c>
      <c r="E74" s="67" t="str">
        <f>IFERROR(VLOOKUP(C74,'Article Master'!A:D,4,0),"")</f>
        <v/>
      </c>
      <c r="F74" s="68">
        <v>0</v>
      </c>
      <c r="G74" s="10"/>
      <c r="H74" s="14"/>
      <c r="I74" s="14"/>
      <c r="J74" s="14"/>
      <c r="K74" s="14"/>
      <c r="L74" s="14"/>
      <c r="M74" s="14"/>
      <c r="N74" s="14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4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</row>
    <row r="75" spans="1:58" ht="12">
      <c r="A75" s="28"/>
      <c r="B75" s="28">
        <v>70</v>
      </c>
      <c r="C75" s="37"/>
      <c r="D75" s="2" t="str">
        <f>IFERROR(VLOOKUP(C75,'Article Master'!A:C,3,0),"")</f>
        <v/>
      </c>
      <c r="E75" s="67" t="str">
        <f>IFERROR(VLOOKUP(C75,'Article Master'!A:D,4,0),"")</f>
        <v/>
      </c>
      <c r="F75" s="68">
        <v>0</v>
      </c>
      <c r="G75" s="10"/>
      <c r="H75" s="14"/>
      <c r="I75" s="14"/>
      <c r="J75" s="14"/>
      <c r="K75" s="14"/>
      <c r="L75" s="14"/>
      <c r="M75" s="14"/>
      <c r="N75" s="14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4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</row>
    <row r="76" spans="1:58" ht="12">
      <c r="A76" s="28"/>
      <c r="B76" s="28">
        <v>71</v>
      </c>
      <c r="C76" s="37"/>
      <c r="D76" s="2" t="str">
        <f>IFERROR(VLOOKUP(C76,'Article Master'!A:C,3,0),"")</f>
        <v/>
      </c>
      <c r="E76" s="67" t="str">
        <f>IFERROR(VLOOKUP(C76,'Article Master'!A:D,4,0),"")</f>
        <v/>
      </c>
      <c r="F76" s="68">
        <v>0</v>
      </c>
      <c r="G76" s="10"/>
      <c r="H76" s="14"/>
      <c r="I76" s="14"/>
      <c r="J76" s="14"/>
      <c r="K76" s="14"/>
      <c r="L76" s="14"/>
      <c r="M76" s="14"/>
      <c r="N76" s="14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4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</row>
    <row r="77" spans="1:58" ht="12">
      <c r="A77" s="27"/>
      <c r="B77" s="27">
        <v>72</v>
      </c>
      <c r="C77" s="37"/>
      <c r="D77" s="2" t="str">
        <f>IFERROR(VLOOKUP(C77,'Article Master'!A:C,3,0),"")</f>
        <v/>
      </c>
      <c r="E77" s="67" t="str">
        <f>IFERROR(VLOOKUP(C77,'Article Master'!A:D,4,0),"")</f>
        <v/>
      </c>
      <c r="F77" s="68">
        <v>0</v>
      </c>
      <c r="G77" s="10"/>
      <c r="H77" s="14"/>
      <c r="I77" s="14"/>
      <c r="J77" s="14"/>
      <c r="K77" s="14"/>
      <c r="L77" s="14"/>
      <c r="M77" s="14"/>
      <c r="N77" s="14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4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</row>
    <row r="78" spans="1:58" ht="12">
      <c r="A78" s="28"/>
      <c r="B78" s="27">
        <v>73</v>
      </c>
      <c r="C78" s="37"/>
      <c r="D78" s="2" t="str">
        <f>IFERROR(VLOOKUP(C78,'Article Master'!A:C,3,0),"")</f>
        <v/>
      </c>
      <c r="E78" s="67" t="str">
        <f>IFERROR(VLOOKUP(C78,'Article Master'!A:D,4,0),"")</f>
        <v/>
      </c>
      <c r="F78" s="68">
        <v>0</v>
      </c>
      <c r="G78" s="10"/>
      <c r="H78" s="14"/>
      <c r="I78" s="14"/>
      <c r="J78" s="14"/>
      <c r="K78" s="14"/>
      <c r="L78" s="14"/>
      <c r="M78" s="14"/>
      <c r="N78" s="14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4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</row>
    <row r="79" spans="1:58" ht="12">
      <c r="A79" s="28"/>
      <c r="B79" s="28">
        <v>74</v>
      </c>
      <c r="C79" s="37"/>
      <c r="D79" s="2" t="str">
        <f>IFERROR(VLOOKUP(C79,'Article Master'!A:C,3,0),"")</f>
        <v/>
      </c>
      <c r="E79" s="67" t="str">
        <f>IFERROR(VLOOKUP(C79,'Article Master'!A:D,4,0),"")</f>
        <v/>
      </c>
      <c r="F79" s="68">
        <v>0</v>
      </c>
      <c r="G79" s="10"/>
      <c r="H79" s="14"/>
      <c r="I79" s="14"/>
      <c r="J79" s="14"/>
      <c r="K79" s="14"/>
      <c r="L79" s="14"/>
      <c r="M79" s="14"/>
      <c r="N79" s="14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4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</row>
    <row r="80" spans="1:58" ht="12">
      <c r="A80" s="27"/>
      <c r="B80" s="28">
        <v>75</v>
      </c>
      <c r="C80" s="37"/>
      <c r="D80" s="2" t="str">
        <f>IFERROR(VLOOKUP(C80,'Article Master'!A:C,3,0),"")</f>
        <v/>
      </c>
      <c r="E80" s="67" t="str">
        <f>IFERROR(VLOOKUP(C80,'Article Master'!A:D,4,0),"")</f>
        <v/>
      </c>
      <c r="F80" s="68">
        <v>0</v>
      </c>
      <c r="G80" s="10"/>
      <c r="H80" s="14"/>
      <c r="I80" s="14"/>
      <c r="J80" s="14"/>
      <c r="K80" s="14"/>
      <c r="L80" s="14"/>
      <c r="M80" s="14"/>
      <c r="N80" s="14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4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</row>
    <row r="81" spans="1:58" ht="12">
      <c r="A81" s="27"/>
      <c r="B81" s="27">
        <v>76</v>
      </c>
      <c r="C81" s="37"/>
      <c r="D81" s="2" t="str">
        <f>IFERROR(VLOOKUP(C81,'Article Master'!A:C,3,0),"")</f>
        <v/>
      </c>
      <c r="E81" s="67" t="str">
        <f>IFERROR(VLOOKUP(C81,'Article Master'!A:D,4,0),"")</f>
        <v/>
      </c>
      <c r="F81" s="68">
        <v>0</v>
      </c>
      <c r="G81" s="10"/>
      <c r="H81" s="14"/>
      <c r="I81" s="14"/>
      <c r="J81" s="14"/>
      <c r="K81" s="14"/>
      <c r="L81" s="14"/>
      <c r="M81" s="14"/>
      <c r="N81" s="14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4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</row>
    <row r="82" spans="1:58" ht="12">
      <c r="A82" s="28"/>
      <c r="B82" s="28">
        <v>77</v>
      </c>
      <c r="C82" s="37"/>
      <c r="D82" s="2" t="str">
        <f>IFERROR(VLOOKUP(C82,'Article Master'!A:C,3,0),"")</f>
        <v/>
      </c>
      <c r="E82" s="67" t="str">
        <f>IFERROR(VLOOKUP(C82,'Article Master'!A:D,4,0),"")</f>
        <v/>
      </c>
      <c r="F82" s="68">
        <v>0</v>
      </c>
      <c r="G82" s="10"/>
      <c r="H82" s="14"/>
      <c r="I82" s="14"/>
      <c r="J82" s="14"/>
      <c r="K82" s="14"/>
      <c r="L82" s="14"/>
      <c r="M82" s="14"/>
      <c r="N82" s="14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4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</row>
    <row r="83" spans="1:58" ht="12">
      <c r="A83" s="28"/>
      <c r="B83" s="27">
        <v>78</v>
      </c>
      <c r="C83" s="37"/>
      <c r="D83" s="2" t="str">
        <f>IFERROR(VLOOKUP(C83,'Article Master'!A:C,3,0),"")</f>
        <v/>
      </c>
      <c r="E83" s="67" t="str">
        <f>IFERROR(VLOOKUP(C83,'Article Master'!A:D,4,0),"")</f>
        <v/>
      </c>
      <c r="F83" s="68">
        <v>0</v>
      </c>
      <c r="G83" s="10"/>
      <c r="H83" s="14"/>
      <c r="I83" s="14"/>
      <c r="J83" s="14"/>
      <c r="K83" s="14"/>
      <c r="L83" s="14"/>
      <c r="M83" s="14"/>
      <c r="N83" s="14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4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</row>
    <row r="84" spans="1:58" s="19" customFormat="1" ht="12">
      <c r="A84" s="27"/>
      <c r="B84" s="28">
        <v>79</v>
      </c>
      <c r="C84" s="37"/>
      <c r="D84" s="2" t="str">
        <f>IFERROR(VLOOKUP(C84,'Article Master'!A:C,3,0),"")</f>
        <v/>
      </c>
      <c r="E84" s="67" t="str">
        <f>IFERROR(VLOOKUP(C84,'Article Master'!A:D,4,0),"")</f>
        <v/>
      </c>
      <c r="F84" s="68">
        <v>0</v>
      </c>
      <c r="G84" s="13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</row>
    <row r="85" spans="1:58" s="19" customFormat="1" ht="12">
      <c r="A85" s="27"/>
      <c r="B85" s="28">
        <v>80</v>
      </c>
      <c r="C85" s="37"/>
      <c r="D85" s="2" t="str">
        <f>IFERROR(VLOOKUP(C85,'Article Master'!A:C,3,0),"")</f>
        <v/>
      </c>
      <c r="E85" s="67" t="str">
        <f>IFERROR(VLOOKUP(C85,'Article Master'!A:D,4,0),"")</f>
        <v/>
      </c>
      <c r="F85" s="68">
        <v>0</v>
      </c>
      <c r="G85" s="13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</row>
    <row r="86" spans="1:58" s="19" customFormat="1" ht="12">
      <c r="A86" s="27"/>
      <c r="B86" s="27">
        <v>81</v>
      </c>
      <c r="C86" s="37"/>
      <c r="D86" s="2" t="str">
        <f>IFERROR(VLOOKUP(C86,'Article Master'!A:C,3,0),"")</f>
        <v/>
      </c>
      <c r="E86" s="67" t="str">
        <f>IFERROR(VLOOKUP(C86,'Article Master'!A:D,4,0),"")</f>
        <v/>
      </c>
      <c r="F86" s="68">
        <v>0</v>
      </c>
      <c r="G86" s="13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</row>
    <row r="87" spans="1:58" s="19" customFormat="1" ht="12">
      <c r="A87" s="27"/>
      <c r="B87" s="27">
        <v>82</v>
      </c>
      <c r="C87" s="37"/>
      <c r="D87" s="2" t="str">
        <f>IFERROR(VLOOKUP(C87,'Article Master'!A:C,3,0),"")</f>
        <v/>
      </c>
      <c r="E87" s="67" t="str">
        <f>IFERROR(VLOOKUP(C87,'Article Master'!A:D,4,0),"")</f>
        <v/>
      </c>
      <c r="F87" s="68">
        <v>0</v>
      </c>
      <c r="G87" s="13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</row>
    <row r="88" spans="1:58" s="19" customFormat="1" ht="12">
      <c r="A88" s="27"/>
      <c r="B88" s="28">
        <v>83</v>
      </c>
      <c r="C88" s="37"/>
      <c r="D88" s="2" t="str">
        <f>IFERROR(VLOOKUP(C88,'Article Master'!A:C,3,0),"")</f>
        <v/>
      </c>
      <c r="E88" s="67" t="str">
        <f>IFERROR(VLOOKUP(C88,'Article Master'!A:D,4,0),"")</f>
        <v/>
      </c>
      <c r="F88" s="68">
        <v>0</v>
      </c>
      <c r="G88" s="13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</row>
    <row r="89" spans="1:58" s="19" customFormat="1" ht="12">
      <c r="A89" s="27"/>
      <c r="B89" s="28">
        <v>84</v>
      </c>
      <c r="C89" s="37"/>
      <c r="D89" s="2" t="str">
        <f>IFERROR(VLOOKUP(C89,'Article Master'!A:C,3,0),"")</f>
        <v/>
      </c>
      <c r="E89" s="67" t="str">
        <f>IFERROR(VLOOKUP(C89,'Article Master'!A:D,4,0),"")</f>
        <v/>
      </c>
      <c r="F89" s="68">
        <v>0</v>
      </c>
      <c r="G89" s="13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</row>
    <row r="90" spans="1:58" s="19" customFormat="1" ht="12">
      <c r="A90" s="27"/>
      <c r="B90" s="27">
        <v>85</v>
      </c>
      <c r="C90" s="37"/>
      <c r="D90" s="2" t="str">
        <f>IFERROR(VLOOKUP(C90,'Article Master'!A:C,3,0),"")</f>
        <v/>
      </c>
      <c r="E90" s="67" t="str">
        <f>IFERROR(VLOOKUP(C90,'Article Master'!A:D,4,0),"")</f>
        <v/>
      </c>
      <c r="F90" s="68">
        <v>0</v>
      </c>
      <c r="G90" s="13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</row>
    <row r="91" spans="1:58" s="19" customFormat="1" ht="12">
      <c r="A91" s="27"/>
      <c r="B91" s="28">
        <v>86</v>
      </c>
      <c r="C91" s="37"/>
      <c r="D91" s="2" t="str">
        <f>IFERROR(VLOOKUP(C91,'Article Master'!A:C,3,0),"")</f>
        <v/>
      </c>
      <c r="E91" s="67" t="str">
        <f>IFERROR(VLOOKUP(C91,'Article Master'!A:D,4,0),"")</f>
        <v/>
      </c>
      <c r="F91" s="68">
        <v>0</v>
      </c>
      <c r="G91" s="13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</row>
    <row r="92" spans="1:58" s="19" customFormat="1" ht="12">
      <c r="A92" s="27"/>
      <c r="B92" s="27">
        <v>87</v>
      </c>
      <c r="C92" s="37"/>
      <c r="D92" s="2" t="str">
        <f>IFERROR(VLOOKUP(C92,'Article Master'!A:C,3,0),"")</f>
        <v/>
      </c>
      <c r="E92" s="67" t="str">
        <f>IFERROR(VLOOKUP(C92,'Article Master'!A:D,4,0),"")</f>
        <v/>
      </c>
      <c r="F92" s="68">
        <v>0</v>
      </c>
      <c r="G92" s="13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</row>
    <row r="93" spans="1:58" s="19" customFormat="1" ht="12">
      <c r="A93" s="27"/>
      <c r="B93" s="28">
        <v>88</v>
      </c>
      <c r="C93" s="37"/>
      <c r="D93" s="2" t="str">
        <f>IFERROR(VLOOKUP(C93,'Article Master'!A:C,3,0),"")</f>
        <v/>
      </c>
      <c r="E93" s="67" t="str">
        <f>IFERROR(VLOOKUP(C93,'Article Master'!A:D,4,0),"")</f>
        <v/>
      </c>
      <c r="F93" s="68">
        <v>0</v>
      </c>
      <c r="G93" s="13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</row>
    <row r="94" spans="1:58" s="19" customFormat="1" ht="12">
      <c r="A94" s="27"/>
      <c r="B94" s="28">
        <v>89</v>
      </c>
      <c r="C94" s="37"/>
      <c r="D94" s="2" t="str">
        <f>IFERROR(VLOOKUP(C94,'Article Master'!A:C,3,0),"")</f>
        <v/>
      </c>
      <c r="E94" s="67" t="str">
        <f>IFERROR(VLOOKUP(C94,'Article Master'!A:D,4,0),"")</f>
        <v/>
      </c>
      <c r="F94" s="68">
        <v>0</v>
      </c>
      <c r="G94" s="13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</row>
    <row r="95" spans="1:58" s="19" customFormat="1" ht="12">
      <c r="A95" s="27"/>
      <c r="B95" s="27">
        <v>90</v>
      </c>
      <c r="C95" s="37"/>
      <c r="D95" s="2" t="str">
        <f>IFERROR(VLOOKUP(C95,'Article Master'!A:C,3,0),"")</f>
        <v/>
      </c>
      <c r="E95" s="67" t="str">
        <f>IFERROR(VLOOKUP(C95,'Article Master'!A:D,4,0),"")</f>
        <v/>
      </c>
      <c r="F95" s="68">
        <v>0</v>
      </c>
      <c r="G95" s="13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</row>
    <row r="96" spans="1:58" s="19" customFormat="1" ht="12">
      <c r="A96" s="27"/>
      <c r="B96" s="27">
        <v>91</v>
      </c>
      <c r="C96" s="37"/>
      <c r="D96" s="2" t="str">
        <f>IFERROR(VLOOKUP(C96,'Article Master'!A:C,3,0),"")</f>
        <v/>
      </c>
      <c r="E96" s="67" t="str">
        <f>IFERROR(VLOOKUP(C96,'Article Master'!A:D,4,0),"")</f>
        <v/>
      </c>
      <c r="F96" s="68">
        <v>0</v>
      </c>
      <c r="G96" s="13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</row>
    <row r="97" spans="1:58" s="19" customFormat="1" ht="12">
      <c r="A97" s="27"/>
      <c r="B97" s="28">
        <v>92</v>
      </c>
      <c r="C97" s="37"/>
      <c r="D97" s="2" t="str">
        <f>IFERROR(VLOOKUP(C97,'Article Master'!A:C,3,0),"")</f>
        <v/>
      </c>
      <c r="E97" s="67" t="str">
        <f>IFERROR(VLOOKUP(C97,'Article Master'!A:D,4,0),"")</f>
        <v/>
      </c>
      <c r="F97" s="68">
        <v>0</v>
      </c>
      <c r="G97" s="13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</row>
    <row r="98" spans="1:58" s="19" customFormat="1" ht="12">
      <c r="A98" s="27"/>
      <c r="B98" s="28">
        <v>93</v>
      </c>
      <c r="C98" s="37"/>
      <c r="D98" s="2" t="str">
        <f>IFERROR(VLOOKUP(C98,'Article Master'!A:C,3,0),"")</f>
        <v/>
      </c>
      <c r="E98" s="67" t="str">
        <f>IFERROR(VLOOKUP(C98,'Article Master'!A:D,4,0),"")</f>
        <v/>
      </c>
      <c r="F98" s="68">
        <v>0</v>
      </c>
      <c r="G98" s="13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</row>
    <row r="99" spans="1:58" s="19" customFormat="1" ht="12">
      <c r="A99" s="27"/>
      <c r="B99" s="27">
        <v>94</v>
      </c>
      <c r="C99" s="37"/>
      <c r="D99" s="2" t="str">
        <f>IFERROR(VLOOKUP(C99,'Article Master'!A:C,3,0),"")</f>
        <v/>
      </c>
      <c r="E99" s="67" t="str">
        <f>IFERROR(VLOOKUP(C99,'Article Master'!A:D,4,0),"")</f>
        <v/>
      </c>
      <c r="F99" s="68">
        <v>0</v>
      </c>
      <c r="G99" s="13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</row>
    <row r="100" spans="1:58" s="19" customFormat="1" ht="12">
      <c r="A100" s="27"/>
      <c r="B100" s="28">
        <v>95</v>
      </c>
      <c r="C100" s="37"/>
      <c r="D100" s="2" t="str">
        <f>IFERROR(VLOOKUP(C100,'Article Master'!A:C,3,0),"")</f>
        <v/>
      </c>
      <c r="E100" s="67" t="str">
        <f>IFERROR(VLOOKUP(C100,'Article Master'!A:D,4,0),"")</f>
        <v/>
      </c>
      <c r="F100" s="68">
        <v>0</v>
      </c>
      <c r="G100" s="13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</row>
    <row r="101" spans="1:58" s="19" customFormat="1" ht="12">
      <c r="A101" s="27"/>
      <c r="B101" s="27">
        <v>96</v>
      </c>
      <c r="C101" s="37"/>
      <c r="D101" s="2" t="str">
        <f>IFERROR(VLOOKUP(C101,'Article Master'!A:C,3,0),"")</f>
        <v/>
      </c>
      <c r="E101" s="67" t="str">
        <f>IFERROR(VLOOKUP(C101,'Article Master'!A:D,4,0),"")</f>
        <v/>
      </c>
      <c r="F101" s="68">
        <v>0</v>
      </c>
      <c r="G101" s="13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</row>
    <row r="102" spans="1:58" s="19" customFormat="1" ht="12">
      <c r="A102" s="27"/>
      <c r="B102" s="28">
        <v>97</v>
      </c>
      <c r="C102" s="37"/>
      <c r="D102" s="2" t="str">
        <f>IFERROR(VLOOKUP(C102,'Article Master'!A:C,3,0),"")</f>
        <v/>
      </c>
      <c r="E102" s="67" t="str">
        <f>IFERROR(VLOOKUP(C102,'Article Master'!A:D,4,0),"")</f>
        <v/>
      </c>
      <c r="F102" s="68">
        <v>0</v>
      </c>
      <c r="G102" s="13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</row>
    <row r="103" spans="1:58" s="19" customFormat="1" ht="12">
      <c r="A103" s="27"/>
      <c r="B103" s="28">
        <v>98</v>
      </c>
      <c r="C103" s="37"/>
      <c r="D103" s="2" t="str">
        <f>IFERROR(VLOOKUP(C103,'Article Master'!A:C,3,0),"")</f>
        <v/>
      </c>
      <c r="E103" s="67" t="str">
        <f>IFERROR(VLOOKUP(C103,'Article Master'!A:D,4,0),"")</f>
        <v/>
      </c>
      <c r="F103" s="68">
        <v>0</v>
      </c>
      <c r="G103" s="13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</row>
    <row r="104" spans="1:58" s="19" customFormat="1" ht="12">
      <c r="A104" s="27"/>
      <c r="B104" s="27">
        <v>99</v>
      </c>
      <c r="C104" s="37"/>
      <c r="D104" s="2" t="str">
        <f>IFERROR(VLOOKUP(C104,'Article Master'!A:C,3,0),"")</f>
        <v/>
      </c>
      <c r="E104" s="67" t="str">
        <f>IFERROR(VLOOKUP(C104,'Article Master'!A:D,4,0),"")</f>
        <v/>
      </c>
      <c r="F104" s="68">
        <v>0</v>
      </c>
      <c r="G104" s="13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</row>
    <row r="105" spans="1:58" s="19" customFormat="1" ht="12">
      <c r="A105" s="27"/>
      <c r="B105" s="27">
        <v>100</v>
      </c>
      <c r="C105" s="37"/>
      <c r="D105" s="2" t="str">
        <f>IFERROR(VLOOKUP(C105,'Article Master'!A:C,3,0),"")</f>
        <v/>
      </c>
      <c r="E105" s="67" t="str">
        <f>IFERROR(VLOOKUP(C105,'Article Master'!A:D,4,0),"")</f>
        <v/>
      </c>
      <c r="F105" s="68">
        <v>0</v>
      </c>
      <c r="G105" s="13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</row>
    <row r="106" spans="1:58" s="19" customFormat="1" ht="12">
      <c r="A106" s="27"/>
      <c r="B106" s="28">
        <v>101</v>
      </c>
      <c r="C106" s="37"/>
      <c r="D106" s="2" t="str">
        <f>IFERROR(VLOOKUP(C106,'Article Master'!A:C,3,0),"")</f>
        <v/>
      </c>
      <c r="E106" s="67" t="str">
        <f>IFERROR(VLOOKUP(C106,'Article Master'!A:D,4,0),"")</f>
        <v/>
      </c>
      <c r="F106" s="68">
        <v>0</v>
      </c>
      <c r="G106" s="13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</row>
    <row r="107" spans="1:58" s="19" customFormat="1" ht="12">
      <c r="A107" s="27"/>
      <c r="B107" s="28">
        <v>102</v>
      </c>
      <c r="C107" s="37"/>
      <c r="D107" s="2" t="str">
        <f>IFERROR(VLOOKUP(C107,'Article Master'!A:C,3,0),"")</f>
        <v/>
      </c>
      <c r="E107" s="67" t="str">
        <f>IFERROR(VLOOKUP(C107,'Article Master'!A:D,4,0),"")</f>
        <v/>
      </c>
      <c r="F107" s="68">
        <v>0</v>
      </c>
      <c r="G107" s="13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</row>
    <row r="108" spans="1:58" s="19" customFormat="1" ht="12">
      <c r="A108" s="27"/>
      <c r="B108" s="27">
        <v>103</v>
      </c>
      <c r="C108" s="37"/>
      <c r="D108" s="2" t="str">
        <f>IFERROR(VLOOKUP(C108,'Article Master'!A:C,3,0),"")</f>
        <v/>
      </c>
      <c r="E108" s="67" t="str">
        <f>IFERROR(VLOOKUP(C108,'Article Master'!A:D,4,0),"")</f>
        <v/>
      </c>
      <c r="F108" s="68">
        <v>0</v>
      </c>
      <c r="G108" s="13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</row>
    <row r="109" spans="1:58" s="19" customFormat="1" ht="12">
      <c r="A109" s="27"/>
      <c r="B109" s="28">
        <v>104</v>
      </c>
      <c r="C109" s="37"/>
      <c r="D109" s="2" t="str">
        <f>IFERROR(VLOOKUP(C109,'Article Master'!A:C,3,0),"")</f>
        <v/>
      </c>
      <c r="E109" s="67" t="str">
        <f>IFERROR(VLOOKUP(C109,'Article Master'!A:D,4,0),"")</f>
        <v/>
      </c>
      <c r="F109" s="68">
        <v>0</v>
      </c>
      <c r="G109" s="13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</row>
    <row r="110" spans="1:58" s="19" customFormat="1" ht="12">
      <c r="A110" s="27"/>
      <c r="B110" s="27">
        <v>105</v>
      </c>
      <c r="C110" s="37"/>
      <c r="D110" s="2" t="str">
        <f>IFERROR(VLOOKUP(C110,'Article Master'!A:C,3,0),"")</f>
        <v/>
      </c>
      <c r="E110" s="67" t="str">
        <f>IFERROR(VLOOKUP(C110,'Article Master'!A:D,4,0),"")</f>
        <v/>
      </c>
      <c r="F110" s="68">
        <v>0</v>
      </c>
      <c r="G110" s="13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</row>
    <row r="111" spans="1:58" s="19" customFormat="1" ht="12">
      <c r="A111" s="27"/>
      <c r="B111" s="28">
        <v>106</v>
      </c>
      <c r="C111" s="37"/>
      <c r="D111" s="2" t="str">
        <f>IFERROR(VLOOKUP(C111,'Article Master'!A:C,3,0),"")</f>
        <v/>
      </c>
      <c r="E111" s="67" t="str">
        <f>IFERROR(VLOOKUP(C111,'Article Master'!A:D,4,0),"")</f>
        <v/>
      </c>
      <c r="F111" s="68">
        <v>0</v>
      </c>
      <c r="G111" s="13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</row>
    <row r="112" spans="1:58" s="19" customFormat="1" ht="12">
      <c r="A112" s="27"/>
      <c r="B112" s="28">
        <v>107</v>
      </c>
      <c r="C112" s="37"/>
      <c r="D112" s="2" t="str">
        <f>IFERROR(VLOOKUP(C112,'Article Master'!A:C,3,0),"")</f>
        <v/>
      </c>
      <c r="E112" s="67" t="str">
        <f>IFERROR(VLOOKUP(C112,'Article Master'!A:D,4,0),"")</f>
        <v/>
      </c>
      <c r="F112" s="68">
        <v>0</v>
      </c>
      <c r="G112" s="13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</row>
    <row r="113" spans="1:58" s="19" customFormat="1" ht="12">
      <c r="A113" s="27"/>
      <c r="B113" s="27">
        <v>108</v>
      </c>
      <c r="C113" s="37"/>
      <c r="D113" s="2" t="str">
        <f>IFERROR(VLOOKUP(C113,'Article Master'!A:C,3,0),"")</f>
        <v/>
      </c>
      <c r="E113" s="67" t="str">
        <f>IFERROR(VLOOKUP(C113,'Article Master'!A:D,4,0),"")</f>
        <v/>
      </c>
      <c r="F113" s="68">
        <v>0</v>
      </c>
      <c r="G113" s="13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</row>
    <row r="114" spans="1:58" s="19" customFormat="1" ht="12">
      <c r="A114" s="27"/>
      <c r="B114" s="27">
        <v>109</v>
      </c>
      <c r="C114" s="37"/>
      <c r="D114" s="2" t="str">
        <f>IFERROR(VLOOKUP(C114,'Article Master'!A:C,3,0),"")</f>
        <v/>
      </c>
      <c r="E114" s="67" t="str">
        <f>IFERROR(VLOOKUP(C114,'Article Master'!A:D,4,0),"")</f>
        <v/>
      </c>
      <c r="F114" s="68">
        <v>0</v>
      </c>
      <c r="G114" s="13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</row>
    <row r="115" spans="1:58" s="19" customFormat="1" ht="12">
      <c r="A115" s="27"/>
      <c r="B115" s="28">
        <v>110</v>
      </c>
      <c r="C115" s="37"/>
      <c r="D115" s="2" t="str">
        <f>IFERROR(VLOOKUP(C115,'Article Master'!A:C,3,0),"")</f>
        <v/>
      </c>
      <c r="E115" s="67" t="str">
        <f>IFERROR(VLOOKUP(C115,'Article Master'!A:D,4,0),"")</f>
        <v/>
      </c>
      <c r="F115" s="68">
        <v>0</v>
      </c>
      <c r="G115" s="13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</row>
    <row r="116" spans="1:58" s="19" customFormat="1" ht="12">
      <c r="A116" s="27"/>
      <c r="B116" s="28">
        <v>111</v>
      </c>
      <c r="C116" s="37"/>
      <c r="D116" s="2" t="str">
        <f>IFERROR(VLOOKUP(C116,'Article Master'!A:C,3,0),"")</f>
        <v/>
      </c>
      <c r="E116" s="67" t="str">
        <f>IFERROR(VLOOKUP(C116,'Article Master'!A:D,4,0),"")</f>
        <v/>
      </c>
      <c r="F116" s="68">
        <v>0</v>
      </c>
      <c r="G116" s="13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</row>
    <row r="117" spans="1:58" s="19" customFormat="1" ht="12">
      <c r="A117" s="27"/>
      <c r="B117" s="27">
        <v>112</v>
      </c>
      <c r="C117" s="37"/>
      <c r="D117" s="2" t="str">
        <f>IFERROR(VLOOKUP(C117,'Article Master'!A:C,3,0),"")</f>
        <v/>
      </c>
      <c r="E117" s="67" t="str">
        <f>IFERROR(VLOOKUP(C117,'Article Master'!A:D,4,0),"")</f>
        <v/>
      </c>
      <c r="F117" s="68">
        <v>0</v>
      </c>
      <c r="G117" s="13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</row>
    <row r="118" spans="1:58" s="19" customFormat="1" ht="12">
      <c r="A118" s="27"/>
      <c r="B118" s="28">
        <v>113</v>
      </c>
      <c r="C118" s="37"/>
      <c r="D118" s="2" t="str">
        <f>IFERROR(VLOOKUP(C118,'Article Master'!A:C,3,0),"")</f>
        <v/>
      </c>
      <c r="E118" s="67" t="str">
        <f>IFERROR(VLOOKUP(C118,'Article Master'!A:D,4,0),"")</f>
        <v/>
      </c>
      <c r="F118" s="68">
        <v>0</v>
      </c>
      <c r="G118" s="13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</row>
    <row r="119" spans="1:58" s="19" customFormat="1" ht="12">
      <c r="A119" s="27"/>
      <c r="B119" s="27">
        <v>114</v>
      </c>
      <c r="C119" s="37"/>
      <c r="D119" s="2" t="str">
        <f>IFERROR(VLOOKUP(C119,'Article Master'!A:C,3,0),"")</f>
        <v/>
      </c>
      <c r="E119" s="67" t="str">
        <f>IFERROR(VLOOKUP(C119,'Article Master'!A:D,4,0),"")</f>
        <v/>
      </c>
      <c r="F119" s="68">
        <v>0</v>
      </c>
      <c r="G119" s="13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</row>
    <row r="120" spans="1:58" s="19" customFormat="1" ht="12">
      <c r="A120" s="27"/>
      <c r="B120" s="28">
        <v>115</v>
      </c>
      <c r="C120" s="37"/>
      <c r="D120" s="2" t="str">
        <f>IFERROR(VLOOKUP(C120,'Article Master'!A:C,3,0),"")</f>
        <v/>
      </c>
      <c r="E120" s="67" t="str">
        <f>IFERROR(VLOOKUP(C120,'Article Master'!A:D,4,0),"")</f>
        <v/>
      </c>
      <c r="F120" s="68">
        <v>0</v>
      </c>
      <c r="G120" s="13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</row>
    <row r="121" spans="1:58" s="19" customFormat="1" ht="12">
      <c r="A121" s="27"/>
      <c r="B121" s="28">
        <v>116</v>
      </c>
      <c r="C121" s="37"/>
      <c r="D121" s="2" t="str">
        <f>IFERROR(VLOOKUP(C121,'Article Master'!A:C,3,0),"")</f>
        <v/>
      </c>
      <c r="E121" s="67" t="str">
        <f>IFERROR(VLOOKUP(C121,'Article Master'!A:D,4,0),"")</f>
        <v/>
      </c>
      <c r="F121" s="68">
        <v>0</v>
      </c>
      <c r="G121" s="13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</row>
    <row r="122" spans="1:58" s="19" customFormat="1" ht="12">
      <c r="A122" s="27"/>
      <c r="B122" s="27">
        <v>117</v>
      </c>
      <c r="C122" s="37"/>
      <c r="D122" s="2" t="str">
        <f>IFERROR(VLOOKUP(C122,'Article Master'!A:C,3,0),"")</f>
        <v/>
      </c>
      <c r="E122" s="67" t="str">
        <f>IFERROR(VLOOKUP(C122,'Article Master'!A:D,4,0),"")</f>
        <v/>
      </c>
      <c r="F122" s="68">
        <v>0</v>
      </c>
      <c r="G122" s="13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</row>
    <row r="123" spans="1:58" s="19" customFormat="1" ht="12">
      <c r="A123" s="27"/>
      <c r="B123" s="27">
        <v>118</v>
      </c>
      <c r="C123" s="37"/>
      <c r="D123" s="2" t="str">
        <f>IFERROR(VLOOKUP(C123,'Article Master'!A:C,3,0),"")</f>
        <v/>
      </c>
      <c r="E123" s="67" t="str">
        <f>IFERROR(VLOOKUP(C123,'Article Master'!A:D,4,0),"")</f>
        <v/>
      </c>
      <c r="F123" s="68">
        <v>0</v>
      </c>
      <c r="G123" s="13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</row>
    <row r="124" spans="1:58" s="19" customFormat="1" ht="12">
      <c r="A124" s="27"/>
      <c r="B124" s="28">
        <v>119</v>
      </c>
      <c r="C124" s="37"/>
      <c r="D124" s="2" t="str">
        <f>IFERROR(VLOOKUP(C124,'Article Master'!A:C,3,0),"")</f>
        <v/>
      </c>
      <c r="E124" s="67" t="str">
        <f>IFERROR(VLOOKUP(C124,'Article Master'!A:D,4,0),"")</f>
        <v/>
      </c>
      <c r="F124" s="68">
        <v>0</v>
      </c>
      <c r="G124" s="13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</row>
    <row r="125" spans="1:58" s="19" customFormat="1" ht="12">
      <c r="A125" s="27"/>
      <c r="B125" s="28">
        <v>120</v>
      </c>
      <c r="C125" s="37"/>
      <c r="D125" s="2" t="str">
        <f>IFERROR(VLOOKUP(C125,'Article Master'!A:C,3,0),"")</f>
        <v/>
      </c>
      <c r="E125" s="67" t="str">
        <f>IFERROR(VLOOKUP(C125,'Article Master'!A:D,4,0),"")</f>
        <v/>
      </c>
      <c r="F125" s="68">
        <v>0</v>
      </c>
      <c r="G125" s="13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</row>
    <row r="126" spans="1:58" s="19" customFormat="1" ht="12">
      <c r="A126" s="27"/>
      <c r="B126" s="27">
        <v>121</v>
      </c>
      <c r="C126" s="37"/>
      <c r="D126" s="2" t="str">
        <f>IFERROR(VLOOKUP(C126,'Article Master'!A:C,3,0),"")</f>
        <v/>
      </c>
      <c r="E126" s="67" t="str">
        <f>IFERROR(VLOOKUP(C126,'Article Master'!A:D,4,0),"")</f>
        <v/>
      </c>
      <c r="F126" s="68">
        <v>0</v>
      </c>
      <c r="G126" s="13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</row>
    <row r="127" spans="1:58" s="19" customFormat="1" ht="12">
      <c r="A127" s="27"/>
      <c r="B127" s="28">
        <v>122</v>
      </c>
      <c r="C127" s="37"/>
      <c r="D127" s="2" t="str">
        <f>IFERROR(VLOOKUP(C127,'Article Master'!A:C,3,0),"")</f>
        <v/>
      </c>
      <c r="E127" s="67" t="str">
        <f>IFERROR(VLOOKUP(C127,'Article Master'!A:D,4,0),"")</f>
        <v/>
      </c>
      <c r="F127" s="68">
        <v>0</v>
      </c>
      <c r="G127" s="13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</row>
    <row r="128" spans="1:58" s="19" customFormat="1" ht="12">
      <c r="A128" s="27"/>
      <c r="B128" s="27">
        <v>123</v>
      </c>
      <c r="C128" s="37"/>
      <c r="D128" s="2" t="str">
        <f>IFERROR(VLOOKUP(C128,'Article Master'!A:C,3,0),"")</f>
        <v/>
      </c>
      <c r="E128" s="67" t="str">
        <f>IFERROR(VLOOKUP(C128,'Article Master'!A:D,4,0),"")</f>
        <v/>
      </c>
      <c r="F128" s="68">
        <v>0</v>
      </c>
      <c r="G128" s="13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</row>
    <row r="129" spans="1:58" s="19" customFormat="1" ht="12">
      <c r="A129" s="27"/>
      <c r="B129" s="28">
        <v>124</v>
      </c>
      <c r="C129" s="37"/>
      <c r="D129" s="2" t="str">
        <f>IFERROR(VLOOKUP(C129,'Article Master'!A:C,3,0),"")</f>
        <v/>
      </c>
      <c r="E129" s="67" t="str">
        <f>IFERROR(VLOOKUP(C129,'Article Master'!A:D,4,0),"")</f>
        <v/>
      </c>
      <c r="F129" s="68">
        <v>0</v>
      </c>
      <c r="G129" s="13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</row>
    <row r="130" spans="1:58" s="19" customFormat="1" ht="12">
      <c r="A130" s="27"/>
      <c r="B130" s="28">
        <v>125</v>
      </c>
      <c r="C130" s="37"/>
      <c r="D130" s="2" t="str">
        <f>IFERROR(VLOOKUP(C130,'Article Master'!A:C,3,0),"")</f>
        <v/>
      </c>
      <c r="E130" s="67" t="str">
        <f>IFERROR(VLOOKUP(C130,'Article Master'!A:D,4,0),"")</f>
        <v/>
      </c>
      <c r="F130" s="68">
        <v>0</v>
      </c>
      <c r="G130" s="13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</row>
    <row r="131" spans="1:58" s="19" customFormat="1" ht="12">
      <c r="A131" s="27"/>
      <c r="B131" s="27">
        <v>126</v>
      </c>
      <c r="C131" s="37"/>
      <c r="D131" s="2" t="str">
        <f>IFERROR(VLOOKUP(C131,'Article Master'!A:C,3,0),"")</f>
        <v/>
      </c>
      <c r="E131" s="67" t="str">
        <f>IFERROR(VLOOKUP(C131,'Article Master'!A:D,4,0),"")</f>
        <v/>
      </c>
      <c r="F131" s="68">
        <v>0</v>
      </c>
      <c r="G131" s="13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</row>
    <row r="132" spans="1:58" s="19" customFormat="1" ht="12">
      <c r="A132" s="27"/>
      <c r="B132" s="27">
        <v>127</v>
      </c>
      <c r="C132" s="37"/>
      <c r="D132" s="2" t="str">
        <f>IFERROR(VLOOKUP(C132,'Article Master'!A:C,3,0),"")</f>
        <v/>
      </c>
      <c r="E132" s="67" t="str">
        <f>IFERROR(VLOOKUP(C132,'Article Master'!A:D,4,0),"")</f>
        <v/>
      </c>
      <c r="F132" s="68">
        <v>0</v>
      </c>
      <c r="G132" s="13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</row>
    <row r="133" spans="1:58" s="19" customFormat="1" ht="12">
      <c r="A133" s="27"/>
      <c r="B133" s="28">
        <v>128</v>
      </c>
      <c r="C133" s="37"/>
      <c r="D133" s="2" t="str">
        <f>IFERROR(VLOOKUP(C133,'Article Master'!A:C,3,0),"")</f>
        <v/>
      </c>
      <c r="E133" s="67" t="str">
        <f>IFERROR(VLOOKUP(C133,'Article Master'!A:D,4,0),"")</f>
        <v/>
      </c>
      <c r="F133" s="68">
        <v>0</v>
      </c>
      <c r="G133" s="13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</row>
    <row r="134" spans="1:58" s="19" customFormat="1" ht="12">
      <c r="A134" s="27"/>
      <c r="B134" s="28">
        <v>129</v>
      </c>
      <c r="C134" s="37"/>
      <c r="D134" s="2" t="str">
        <f>IFERROR(VLOOKUP(C134,'Article Master'!A:C,3,0),"")</f>
        <v/>
      </c>
      <c r="E134" s="67" t="str">
        <f>IFERROR(VLOOKUP(C134,'Article Master'!A:D,4,0),"")</f>
        <v/>
      </c>
      <c r="F134" s="68">
        <v>0</v>
      </c>
      <c r="G134" s="13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</row>
    <row r="135" spans="1:58" s="19" customFormat="1" ht="12">
      <c r="A135" s="27"/>
      <c r="B135" s="27">
        <v>130</v>
      </c>
      <c r="C135" s="37"/>
      <c r="D135" s="2" t="str">
        <f>IFERROR(VLOOKUP(C135,'Article Master'!A:C,3,0),"")</f>
        <v/>
      </c>
      <c r="E135" s="67" t="str">
        <f>IFERROR(VLOOKUP(C135,'Article Master'!A:D,4,0),"")</f>
        <v/>
      </c>
      <c r="F135" s="68">
        <v>0</v>
      </c>
      <c r="G135" s="13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</row>
    <row r="136" spans="1:58" s="19" customFormat="1" ht="12">
      <c r="A136" s="27"/>
      <c r="B136" s="28">
        <v>131</v>
      </c>
      <c r="C136" s="37"/>
      <c r="D136" s="2" t="str">
        <f>IFERROR(VLOOKUP(C136,'Article Master'!A:C,3,0),"")</f>
        <v/>
      </c>
      <c r="E136" s="67" t="str">
        <f>IFERROR(VLOOKUP(C136,'Article Master'!A:D,4,0),"")</f>
        <v/>
      </c>
      <c r="F136" s="68">
        <v>0</v>
      </c>
      <c r="G136" s="13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</row>
    <row r="137" spans="1:58" s="19" customFormat="1" ht="12">
      <c r="A137" s="27"/>
      <c r="B137" s="27">
        <v>132</v>
      </c>
      <c r="C137" s="37"/>
      <c r="D137" s="2" t="str">
        <f>IFERROR(VLOOKUP(C137,'Article Master'!A:C,3,0),"")</f>
        <v/>
      </c>
      <c r="E137" s="67" t="str">
        <f>IFERROR(VLOOKUP(C137,'Article Master'!A:D,4,0),"")</f>
        <v/>
      </c>
      <c r="F137" s="68">
        <v>0</v>
      </c>
      <c r="G137" s="13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</row>
    <row r="138" spans="1:58" s="19" customFormat="1" ht="12">
      <c r="A138" s="27"/>
      <c r="B138" s="28">
        <v>133</v>
      </c>
      <c r="C138" s="37"/>
      <c r="D138" s="2" t="str">
        <f>IFERROR(VLOOKUP(C138,'Article Master'!A:C,3,0),"")</f>
        <v/>
      </c>
      <c r="E138" s="67" t="str">
        <f>IFERROR(VLOOKUP(C138,'Article Master'!A:D,4,0),"")</f>
        <v/>
      </c>
      <c r="F138" s="68">
        <v>0</v>
      </c>
      <c r="G138" s="13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</row>
    <row r="139" spans="1:58" s="19" customFormat="1" ht="12">
      <c r="A139" s="27"/>
      <c r="B139" s="28">
        <v>134</v>
      </c>
      <c r="C139" s="37"/>
      <c r="D139" s="2" t="str">
        <f>IFERROR(VLOOKUP(C139,'Article Master'!A:C,3,0),"")</f>
        <v/>
      </c>
      <c r="E139" s="67" t="str">
        <f>IFERROR(VLOOKUP(C139,'Article Master'!A:D,4,0),"")</f>
        <v/>
      </c>
      <c r="F139" s="68">
        <v>0</v>
      </c>
      <c r="G139" s="13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</row>
    <row r="140" spans="1:58" s="19" customFormat="1" ht="12">
      <c r="A140" s="27"/>
      <c r="B140" s="27">
        <v>135</v>
      </c>
      <c r="C140" s="37"/>
      <c r="D140" s="2" t="str">
        <f>IFERROR(VLOOKUP(C140,'Article Master'!A:C,3,0),"")</f>
        <v/>
      </c>
      <c r="E140" s="67" t="str">
        <f>IFERROR(VLOOKUP(C140,'Article Master'!A:D,4,0),"")</f>
        <v/>
      </c>
      <c r="F140" s="68">
        <v>0</v>
      </c>
      <c r="G140" s="13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</row>
    <row r="141" spans="1:58" s="19" customFormat="1" ht="12">
      <c r="A141" s="27"/>
      <c r="B141" s="27">
        <v>136</v>
      </c>
      <c r="C141" s="37"/>
      <c r="D141" s="2" t="str">
        <f>IFERROR(VLOOKUP(C141,'Article Master'!A:C,3,0),"")</f>
        <v/>
      </c>
      <c r="E141" s="67" t="str">
        <f>IFERROR(VLOOKUP(C141,'Article Master'!A:D,4,0),"")</f>
        <v/>
      </c>
      <c r="F141" s="68">
        <v>0</v>
      </c>
      <c r="G141" s="13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</row>
    <row r="142" spans="1:58" s="19" customFormat="1" ht="12">
      <c r="A142" s="27"/>
      <c r="B142" s="28">
        <v>137</v>
      </c>
      <c r="C142" s="37"/>
      <c r="D142" s="2" t="str">
        <f>IFERROR(VLOOKUP(C142,'Article Master'!A:C,3,0),"")</f>
        <v/>
      </c>
      <c r="E142" s="67" t="str">
        <f>IFERROR(VLOOKUP(C142,'Article Master'!A:D,4,0),"")</f>
        <v/>
      </c>
      <c r="F142" s="68">
        <v>0</v>
      </c>
      <c r="G142" s="13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</row>
    <row r="143" spans="1:58" s="19" customFormat="1" ht="12">
      <c r="A143" s="27"/>
      <c r="B143" s="28">
        <v>138</v>
      </c>
      <c r="C143" s="37"/>
      <c r="D143" s="2" t="str">
        <f>IFERROR(VLOOKUP(C143,'Article Master'!A:C,3,0),"")</f>
        <v/>
      </c>
      <c r="E143" s="67" t="str">
        <f>IFERROR(VLOOKUP(C143,'Article Master'!A:D,4,0),"")</f>
        <v/>
      </c>
      <c r="F143" s="68">
        <v>0</v>
      </c>
      <c r="G143" s="13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</row>
    <row r="144" spans="1:58" s="19" customFormat="1" ht="12">
      <c r="A144" s="27"/>
      <c r="B144" s="27">
        <v>139</v>
      </c>
      <c r="C144" s="37"/>
      <c r="D144" s="2" t="str">
        <f>IFERROR(VLOOKUP(C144,'Article Master'!A:C,3,0),"")</f>
        <v/>
      </c>
      <c r="E144" s="67" t="str">
        <f>IFERROR(VLOOKUP(C144,'Article Master'!A:D,4,0),"")</f>
        <v/>
      </c>
      <c r="F144" s="68">
        <v>0</v>
      </c>
      <c r="G144" s="13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</row>
    <row r="145" spans="1:58" s="19" customFormat="1" ht="12">
      <c r="A145" s="27"/>
      <c r="B145" s="28">
        <v>140</v>
      </c>
      <c r="C145" s="37"/>
      <c r="D145" s="2" t="str">
        <f>IFERROR(VLOOKUP(C145,'Article Master'!A:C,3,0),"")</f>
        <v/>
      </c>
      <c r="E145" s="67" t="str">
        <f>IFERROR(VLOOKUP(C145,'Article Master'!A:D,4,0),"")</f>
        <v/>
      </c>
      <c r="F145" s="68">
        <v>0</v>
      </c>
      <c r="G145" s="13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</row>
    <row r="146" spans="1:58" s="19" customFormat="1" ht="12">
      <c r="A146" s="27"/>
      <c r="B146" s="27">
        <v>141</v>
      </c>
      <c r="C146" s="37"/>
      <c r="D146" s="2" t="str">
        <f>IFERROR(VLOOKUP(C146,'Article Master'!A:C,3,0),"")</f>
        <v/>
      </c>
      <c r="E146" s="67" t="str">
        <f>IFERROR(VLOOKUP(C146,'Article Master'!A:D,4,0),"")</f>
        <v/>
      </c>
      <c r="F146" s="68">
        <v>0</v>
      </c>
      <c r="G146" s="13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</row>
    <row r="147" spans="1:58" s="19" customFormat="1" ht="12">
      <c r="A147" s="27"/>
      <c r="B147" s="28">
        <v>142</v>
      </c>
      <c r="C147" s="37"/>
      <c r="D147" s="2" t="str">
        <f>IFERROR(VLOOKUP(C147,'Article Master'!A:C,3,0),"")</f>
        <v/>
      </c>
      <c r="E147" s="67" t="str">
        <f>IFERROR(VLOOKUP(C147,'Article Master'!A:D,4,0),"")</f>
        <v/>
      </c>
      <c r="F147" s="68">
        <v>0</v>
      </c>
      <c r="G147" s="13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</row>
    <row r="148" spans="1:58" s="19" customFormat="1" ht="12">
      <c r="A148" s="27"/>
      <c r="B148" s="28">
        <v>143</v>
      </c>
      <c r="C148" s="37"/>
      <c r="D148" s="2" t="str">
        <f>IFERROR(VLOOKUP(C148,'Article Master'!A:C,3,0),"")</f>
        <v/>
      </c>
      <c r="E148" s="67" t="str">
        <f>IFERROR(VLOOKUP(C148,'Article Master'!A:D,4,0),"")</f>
        <v/>
      </c>
      <c r="F148" s="68">
        <v>0</v>
      </c>
      <c r="G148" s="13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</row>
    <row r="149" spans="1:58" s="19" customFormat="1" ht="12">
      <c r="A149" s="27"/>
      <c r="B149" s="27">
        <v>144</v>
      </c>
      <c r="C149" s="37"/>
      <c r="D149" s="2" t="str">
        <f>IFERROR(VLOOKUP(C149,'Article Master'!A:C,3,0),"")</f>
        <v/>
      </c>
      <c r="E149" s="67" t="str">
        <f>IFERROR(VLOOKUP(C149,'Article Master'!A:D,4,0),"")</f>
        <v/>
      </c>
      <c r="F149" s="68">
        <v>0</v>
      </c>
      <c r="G149" s="13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</row>
    <row r="150" spans="1:58" s="19" customFormat="1" ht="12">
      <c r="A150" s="27"/>
      <c r="B150" s="27">
        <v>145</v>
      </c>
      <c r="C150" s="37"/>
      <c r="D150" s="2" t="str">
        <f>IFERROR(VLOOKUP(C150,'Article Master'!A:C,3,0),"")</f>
        <v/>
      </c>
      <c r="E150" s="67" t="str">
        <f>IFERROR(VLOOKUP(C150,'Article Master'!A:D,4,0),"")</f>
        <v/>
      </c>
      <c r="F150" s="68">
        <v>0</v>
      </c>
      <c r="G150" s="13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</row>
    <row r="151" spans="1:58" s="19" customFormat="1" ht="12">
      <c r="A151" s="27"/>
      <c r="B151" s="27">
        <v>146</v>
      </c>
      <c r="C151" s="37"/>
      <c r="D151" s="2" t="str">
        <f>IFERROR(VLOOKUP(C151,'Article Master'!A:C,3,0),"")</f>
        <v/>
      </c>
      <c r="E151" s="67" t="str">
        <f>IFERROR(VLOOKUP(C151,'Article Master'!A:D,4,0),"")</f>
        <v/>
      </c>
      <c r="F151" s="68">
        <v>0</v>
      </c>
      <c r="G151" s="13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</row>
    <row r="152" spans="1:58" s="19" customFormat="1" ht="12">
      <c r="A152" s="27"/>
      <c r="B152" s="28">
        <v>147</v>
      </c>
      <c r="C152" s="37"/>
      <c r="D152" s="2" t="str">
        <f>IFERROR(VLOOKUP(C152,'Article Master'!A:C,3,0),"")</f>
        <v/>
      </c>
      <c r="E152" s="67" t="str">
        <f>IFERROR(VLOOKUP(C152,'Article Master'!A:D,4,0),"")</f>
        <v/>
      </c>
      <c r="F152" s="68">
        <v>0</v>
      </c>
      <c r="G152" s="13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</row>
    <row r="153" spans="1:58" s="19" customFormat="1" ht="12">
      <c r="A153" s="27"/>
      <c r="B153" s="27">
        <v>148</v>
      </c>
      <c r="C153" s="37"/>
      <c r="D153" s="2" t="str">
        <f>IFERROR(VLOOKUP(C153,'Article Master'!A:C,3,0),"")</f>
        <v/>
      </c>
      <c r="E153" s="67" t="str">
        <f>IFERROR(VLOOKUP(C153,'Article Master'!A:D,4,0),"")</f>
        <v/>
      </c>
      <c r="F153" s="68">
        <v>0</v>
      </c>
      <c r="G153" s="13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</row>
    <row r="154" spans="1:58" s="19" customFormat="1" ht="12">
      <c r="A154" s="27"/>
      <c r="B154" s="28">
        <v>149</v>
      </c>
      <c r="C154" s="37"/>
      <c r="D154" s="2" t="str">
        <f>IFERROR(VLOOKUP(C154,'Article Master'!A:C,3,0),"")</f>
        <v/>
      </c>
      <c r="E154" s="67" t="str">
        <f>IFERROR(VLOOKUP(C154,'Article Master'!A:D,4,0),"")</f>
        <v/>
      </c>
      <c r="F154" s="68">
        <v>0</v>
      </c>
      <c r="G154" s="13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</row>
    <row r="155" spans="1:58" s="19" customFormat="1" ht="12.6" thickBot="1">
      <c r="A155" s="27"/>
      <c r="B155" s="28">
        <v>150</v>
      </c>
      <c r="C155" s="37"/>
      <c r="D155" s="2" t="str">
        <f>IFERROR(VLOOKUP(C155,'Article Master'!A:C,3,0),"")</f>
        <v/>
      </c>
      <c r="E155" s="67" t="str">
        <f>IFERROR(VLOOKUP(C155,'Article Master'!A:D,4,0),"")</f>
        <v/>
      </c>
      <c r="F155" s="69">
        <v>0</v>
      </c>
      <c r="G155" s="13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</row>
  </sheetData>
  <autoFilter ref="A5:AJ155" xr:uid="{A5D0747D-E39B-4304-A1C9-FF22B6DE9A10}"/>
  <conditionalFormatting sqref="C11">
    <cfRule type="duplicateValues" dxfId="0" priority="1"/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42B39C7-03BB-4644-8C20-CFF85893A5AF}">
          <x14:formula1>
            <xm:f>'Article Master'!$A$2:$A$120</xm:f>
          </x14:formula1>
          <xm:sqref>C6:C155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D219F-7138-4DD1-9DDD-19CEFFC28AA4}">
  <sheetPr>
    <tabColor rgb="FF00B050"/>
  </sheetPr>
  <dimension ref="B1:BA24"/>
  <sheetViews>
    <sheetView workbookViewId="0">
      <selection activeCell="F3" sqref="F3:H3"/>
    </sheetView>
  </sheetViews>
  <sheetFormatPr defaultColWidth="9.109375" defaultRowHeight="13.2"/>
  <cols>
    <col min="2" max="2" width="12.33203125" bestFit="1" customWidth="1"/>
    <col min="3" max="3" width="11.5546875" bestFit="1" customWidth="1"/>
    <col min="4" max="4" width="11.109375" customWidth="1"/>
    <col min="5" max="53" width="11.5546875" bestFit="1" customWidth="1"/>
  </cols>
  <sheetData>
    <row r="1" spans="2:53" ht="193.8" thickBot="1">
      <c r="B1" s="41"/>
      <c r="C1" s="78"/>
      <c r="D1" s="79"/>
      <c r="E1" s="79"/>
      <c r="F1" s="80" t="s">
        <v>361</v>
      </c>
      <c r="G1" s="81" t="s">
        <v>370</v>
      </c>
      <c r="H1" s="82" t="s">
        <v>362</v>
      </c>
      <c r="I1" s="83" t="s">
        <v>363</v>
      </c>
      <c r="J1" s="84" t="s">
        <v>364</v>
      </c>
      <c r="K1" s="84" t="s">
        <v>365</v>
      </c>
      <c r="L1" s="85" t="s">
        <v>366</v>
      </c>
      <c r="M1" s="84" t="s">
        <v>367</v>
      </c>
      <c r="N1" s="86" t="s">
        <v>368</v>
      </c>
      <c r="O1" s="42" t="s">
        <v>207</v>
      </c>
      <c r="P1" s="42" t="s">
        <v>207</v>
      </c>
      <c r="Q1" s="42" t="s">
        <v>207</v>
      </c>
      <c r="R1" s="42" t="s">
        <v>207</v>
      </c>
      <c r="S1" s="42" t="s">
        <v>207</v>
      </c>
      <c r="T1" s="42" t="s">
        <v>207</v>
      </c>
      <c r="U1" s="42" t="s">
        <v>207</v>
      </c>
      <c r="V1" s="42" t="s">
        <v>207</v>
      </c>
      <c r="W1" s="42" t="s">
        <v>207</v>
      </c>
      <c r="X1" s="42" t="s">
        <v>207</v>
      </c>
      <c r="Y1" s="42" t="s">
        <v>207</v>
      </c>
      <c r="Z1" s="42" t="s">
        <v>207</v>
      </c>
      <c r="AA1" s="42" t="s">
        <v>207</v>
      </c>
      <c r="AB1" s="42" t="s">
        <v>207</v>
      </c>
      <c r="AC1" s="42" t="s">
        <v>207</v>
      </c>
      <c r="AD1" s="43" t="s">
        <v>207</v>
      </c>
      <c r="AE1" s="43" t="s">
        <v>207</v>
      </c>
      <c r="AF1" s="43" t="s">
        <v>207</v>
      </c>
      <c r="AG1" s="43" t="s">
        <v>207</v>
      </c>
      <c r="AH1" s="43" t="s">
        <v>207</v>
      </c>
      <c r="AI1" s="43" t="s">
        <v>207</v>
      </c>
      <c r="AJ1" s="43" t="s">
        <v>207</v>
      </c>
      <c r="AK1" s="43" t="s">
        <v>207</v>
      </c>
      <c r="AL1" s="43" t="s">
        <v>207</v>
      </c>
      <c r="AM1" s="43" t="s">
        <v>207</v>
      </c>
      <c r="AN1" s="43" t="s">
        <v>207</v>
      </c>
      <c r="AO1" s="43" t="s">
        <v>207</v>
      </c>
      <c r="AP1" s="43" t="s">
        <v>207</v>
      </c>
      <c r="AQ1" s="43" t="s">
        <v>207</v>
      </c>
      <c r="AR1" s="43" t="s">
        <v>207</v>
      </c>
      <c r="AS1" s="43" t="s">
        <v>207</v>
      </c>
      <c r="AT1" s="43" t="s">
        <v>207</v>
      </c>
      <c r="AU1" s="43" t="s">
        <v>207</v>
      </c>
      <c r="AV1" s="43" t="s">
        <v>207</v>
      </c>
      <c r="AW1" s="43" t="s">
        <v>207</v>
      </c>
      <c r="AX1" s="43" t="s">
        <v>207</v>
      </c>
      <c r="AY1" s="43" t="s">
        <v>207</v>
      </c>
      <c r="AZ1" s="43" t="s">
        <v>207</v>
      </c>
      <c r="BA1" s="43" t="s">
        <v>207</v>
      </c>
    </row>
    <row r="2" spans="2:53" ht="15" thickBot="1">
      <c r="B2" s="44"/>
      <c r="C2" s="87"/>
      <c r="D2" s="88"/>
      <c r="E2" s="88"/>
      <c r="F2" s="89">
        <v>157128653</v>
      </c>
      <c r="G2" s="90">
        <v>157138368</v>
      </c>
      <c r="H2" s="91">
        <v>157128652</v>
      </c>
      <c r="I2" s="92">
        <v>157092027</v>
      </c>
      <c r="J2" s="93">
        <v>157091842</v>
      </c>
      <c r="K2" s="93">
        <v>157092028</v>
      </c>
      <c r="L2" s="94">
        <v>157092029</v>
      </c>
      <c r="M2" s="93">
        <v>157091840</v>
      </c>
      <c r="N2" s="95">
        <v>157091838</v>
      </c>
      <c r="O2" s="45" t="s">
        <v>208</v>
      </c>
      <c r="P2" s="45" t="s">
        <v>208</v>
      </c>
      <c r="Q2" s="45" t="s">
        <v>208</v>
      </c>
      <c r="R2" s="45" t="s">
        <v>208</v>
      </c>
      <c r="S2" s="45" t="s">
        <v>208</v>
      </c>
      <c r="T2" s="45" t="s">
        <v>208</v>
      </c>
      <c r="U2" s="45" t="s">
        <v>208</v>
      </c>
      <c r="V2" s="45" t="s">
        <v>208</v>
      </c>
      <c r="W2" s="45" t="s">
        <v>208</v>
      </c>
      <c r="X2" s="45" t="s">
        <v>208</v>
      </c>
      <c r="Y2" s="45" t="s">
        <v>208</v>
      </c>
      <c r="Z2" s="45" t="s">
        <v>208</v>
      </c>
      <c r="AA2" s="45" t="s">
        <v>208</v>
      </c>
      <c r="AB2" s="45" t="s">
        <v>208</v>
      </c>
      <c r="AC2" s="45" t="s">
        <v>208</v>
      </c>
      <c r="AD2" s="46" t="s">
        <v>208</v>
      </c>
      <c r="AE2" s="61" t="s">
        <v>208</v>
      </c>
      <c r="AF2" s="61" t="s">
        <v>208</v>
      </c>
      <c r="AG2" s="61" t="s">
        <v>208</v>
      </c>
      <c r="AH2" s="61" t="s">
        <v>208</v>
      </c>
      <c r="AI2" s="61" t="s">
        <v>208</v>
      </c>
      <c r="AJ2" s="61" t="s">
        <v>208</v>
      </c>
      <c r="AK2" s="61" t="s">
        <v>208</v>
      </c>
      <c r="AL2" s="61" t="s">
        <v>208</v>
      </c>
      <c r="AM2" s="61" t="s">
        <v>208</v>
      </c>
      <c r="AN2" s="61" t="s">
        <v>208</v>
      </c>
      <c r="AO2" s="61" t="s">
        <v>208</v>
      </c>
      <c r="AP2" s="61" t="s">
        <v>208</v>
      </c>
      <c r="AQ2" s="61" t="s">
        <v>208</v>
      </c>
      <c r="AR2" s="61" t="s">
        <v>208</v>
      </c>
      <c r="AS2" s="61" t="s">
        <v>208</v>
      </c>
      <c r="AT2" s="61" t="s">
        <v>208</v>
      </c>
      <c r="AU2" s="61" t="s">
        <v>208</v>
      </c>
      <c r="AV2" s="61" t="s">
        <v>208</v>
      </c>
      <c r="AW2" s="61" t="s">
        <v>208</v>
      </c>
      <c r="AX2" s="61" t="s">
        <v>208</v>
      </c>
      <c r="AY2" s="61" t="s">
        <v>208</v>
      </c>
      <c r="AZ2" s="61" t="s">
        <v>208</v>
      </c>
      <c r="BA2" s="61" t="s">
        <v>208</v>
      </c>
    </row>
    <row r="3" spans="2:53" ht="13.8" thickBot="1">
      <c r="B3" s="47" t="s">
        <v>285</v>
      </c>
      <c r="C3" s="36">
        <f t="shared" ref="C3:V3" ca="1" si="0">SUMPRODUCT($E$6:$E$84,C7:C85)</f>
        <v>0</v>
      </c>
      <c r="D3" s="36">
        <f t="shared" ca="1" si="0"/>
        <v>0</v>
      </c>
      <c r="E3" s="36">
        <f t="shared" ca="1" si="0"/>
        <v>0</v>
      </c>
      <c r="F3" s="36">
        <v>47139.85</v>
      </c>
      <c r="G3" s="36">
        <v>29472.98</v>
      </c>
      <c r="H3" s="36">
        <v>39194.789999999994</v>
      </c>
      <c r="I3" s="36"/>
      <c r="J3" s="36"/>
      <c r="K3" s="36"/>
      <c r="L3" s="36"/>
      <c r="M3" s="36"/>
      <c r="N3" s="36"/>
      <c r="O3" s="36">
        <f t="shared" ca="1" si="0"/>
        <v>0</v>
      </c>
      <c r="P3" s="36">
        <f t="shared" ca="1" si="0"/>
        <v>0</v>
      </c>
      <c r="Q3" s="36">
        <f t="shared" ca="1" si="0"/>
        <v>0</v>
      </c>
      <c r="R3" s="36">
        <f t="shared" ca="1" si="0"/>
        <v>0</v>
      </c>
      <c r="S3" s="36">
        <f t="shared" ca="1" si="0"/>
        <v>0</v>
      </c>
      <c r="T3" s="36">
        <f t="shared" ca="1" si="0"/>
        <v>0</v>
      </c>
      <c r="U3" s="36">
        <f t="shared" ca="1" si="0"/>
        <v>0</v>
      </c>
      <c r="V3" s="36">
        <f t="shared" ca="1" si="0"/>
        <v>0</v>
      </c>
      <c r="W3" s="48">
        <v>0</v>
      </c>
      <c r="X3" s="48"/>
      <c r="Y3" s="48"/>
      <c r="Z3" s="48"/>
      <c r="AA3" s="48"/>
      <c r="AB3" s="48"/>
      <c r="AC3" s="48"/>
      <c r="AD3" s="59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</row>
    <row r="4" spans="2:53" ht="13.8" thickBot="1">
      <c r="B4" s="49" t="s">
        <v>286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50">
        <v>0</v>
      </c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6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</row>
    <row r="5" spans="2:53">
      <c r="B5" s="49" t="s">
        <v>287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6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</row>
    <row r="6" spans="2:53">
      <c r="B6" s="49" t="s">
        <v>288</v>
      </c>
      <c r="C6" s="62"/>
      <c r="D6" s="62"/>
      <c r="E6" s="62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6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</row>
    <row r="7" spans="2:53">
      <c r="B7" s="49" t="s">
        <v>289</v>
      </c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6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</row>
    <row r="8" spans="2:53">
      <c r="B8" s="49" t="s">
        <v>290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6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</row>
    <row r="9" spans="2:53">
      <c r="B9" s="49" t="s">
        <v>290</v>
      </c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6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</row>
    <row r="10" spans="2:53">
      <c r="B10" s="49" t="s">
        <v>290</v>
      </c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6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</row>
    <row r="11" spans="2:53">
      <c r="B11" s="49" t="s">
        <v>290</v>
      </c>
      <c r="C11" s="62"/>
      <c r="D11" s="62"/>
      <c r="E11" s="62"/>
      <c r="F11" s="62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6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</row>
    <row r="12" spans="2:53">
      <c r="B12" s="49" t="s">
        <v>290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6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</row>
    <row r="13" spans="2:53">
      <c r="B13" s="49" t="s">
        <v>290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6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</row>
    <row r="14" spans="2:53">
      <c r="B14" s="49" t="s">
        <v>290</v>
      </c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6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</row>
    <row r="15" spans="2:53">
      <c r="B15" s="49" t="s">
        <v>290</v>
      </c>
      <c r="C15" s="39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6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</row>
    <row r="16" spans="2:53">
      <c r="B16" s="49" t="s">
        <v>290</v>
      </c>
      <c r="C16" s="39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6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</row>
    <row r="17" spans="2:53">
      <c r="B17" s="49" t="s">
        <v>290</v>
      </c>
      <c r="C17" s="39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6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</row>
    <row r="18" spans="2:53">
      <c r="B18" s="49" t="s">
        <v>290</v>
      </c>
      <c r="C18" s="39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6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</row>
    <row r="19" spans="2:53">
      <c r="B19" s="49" t="s">
        <v>290</v>
      </c>
      <c r="C19" s="39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6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</row>
    <row r="20" spans="2:53">
      <c r="B20" s="49" t="s">
        <v>290</v>
      </c>
      <c r="C20" s="39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6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</row>
    <row r="21" spans="2:53">
      <c r="B21" s="49" t="s">
        <v>290</v>
      </c>
      <c r="C21" s="39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6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</row>
    <row r="22" spans="2:53">
      <c r="B22" s="49" t="s">
        <v>290</v>
      </c>
      <c r="C22" s="39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6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</row>
    <row r="23" spans="2:53" ht="27" customHeight="1" thickBot="1">
      <c r="B23" s="51" t="s">
        <v>291</v>
      </c>
      <c r="C23" s="40">
        <f ca="1">SUM(C3:C22)</f>
        <v>0</v>
      </c>
      <c r="D23" s="40">
        <f t="shared" ref="D23:BA23" ca="1" si="1">SUM(D3:D22)</f>
        <v>0</v>
      </c>
      <c r="E23" s="40">
        <f t="shared" ca="1" si="1"/>
        <v>0</v>
      </c>
      <c r="F23" s="40">
        <f t="shared" si="1"/>
        <v>47139.85</v>
      </c>
      <c r="G23" s="40">
        <f t="shared" si="1"/>
        <v>29472.98</v>
      </c>
      <c r="H23" s="40">
        <f t="shared" si="1"/>
        <v>39194.789999999994</v>
      </c>
      <c r="I23" s="40">
        <f t="shared" si="1"/>
        <v>0</v>
      </c>
      <c r="J23" s="40">
        <f t="shared" si="1"/>
        <v>0</v>
      </c>
      <c r="K23" s="40">
        <f t="shared" si="1"/>
        <v>0</v>
      </c>
      <c r="L23" s="40">
        <f t="shared" si="1"/>
        <v>0</v>
      </c>
      <c r="M23" s="40">
        <f t="shared" si="1"/>
        <v>0</v>
      </c>
      <c r="N23" s="40">
        <f t="shared" si="1"/>
        <v>0</v>
      </c>
      <c r="O23" s="40">
        <f t="shared" ca="1" si="1"/>
        <v>0</v>
      </c>
      <c r="P23" s="40">
        <f t="shared" ca="1" si="1"/>
        <v>0</v>
      </c>
      <c r="Q23" s="40">
        <f t="shared" ca="1" si="1"/>
        <v>0</v>
      </c>
      <c r="R23" s="40">
        <f t="shared" ca="1" si="1"/>
        <v>0</v>
      </c>
      <c r="S23" s="40">
        <f t="shared" ca="1" si="1"/>
        <v>0</v>
      </c>
      <c r="T23" s="40">
        <f t="shared" ca="1" si="1"/>
        <v>0</v>
      </c>
      <c r="U23" s="40">
        <f t="shared" ca="1" si="1"/>
        <v>0</v>
      </c>
      <c r="V23" s="40">
        <f t="shared" ca="1" si="1"/>
        <v>0</v>
      </c>
      <c r="W23" s="40">
        <f t="shared" si="1"/>
        <v>0</v>
      </c>
      <c r="X23" s="40">
        <f t="shared" si="1"/>
        <v>0</v>
      </c>
      <c r="Y23" s="40">
        <f t="shared" si="1"/>
        <v>0</v>
      </c>
      <c r="Z23" s="40">
        <f t="shared" si="1"/>
        <v>0</v>
      </c>
      <c r="AA23" s="40">
        <f t="shared" si="1"/>
        <v>0</v>
      </c>
      <c r="AB23" s="40">
        <f t="shared" si="1"/>
        <v>0</v>
      </c>
      <c r="AC23" s="40">
        <f t="shared" si="1"/>
        <v>0</v>
      </c>
      <c r="AD23" s="40">
        <f t="shared" si="1"/>
        <v>0</v>
      </c>
      <c r="AE23" s="40">
        <f t="shared" si="1"/>
        <v>0</v>
      </c>
      <c r="AF23" s="40">
        <f t="shared" si="1"/>
        <v>0</v>
      </c>
      <c r="AG23" s="40">
        <f t="shared" si="1"/>
        <v>0</v>
      </c>
      <c r="AH23" s="40">
        <f t="shared" si="1"/>
        <v>0</v>
      </c>
      <c r="AI23" s="40">
        <f t="shared" si="1"/>
        <v>0</v>
      </c>
      <c r="AJ23" s="40">
        <f t="shared" si="1"/>
        <v>0</v>
      </c>
      <c r="AK23" s="40">
        <f t="shared" si="1"/>
        <v>0</v>
      </c>
      <c r="AL23" s="40">
        <f t="shared" si="1"/>
        <v>0</v>
      </c>
      <c r="AM23" s="40">
        <f t="shared" si="1"/>
        <v>0</v>
      </c>
      <c r="AN23" s="40">
        <f t="shared" si="1"/>
        <v>0</v>
      </c>
      <c r="AO23" s="40">
        <f t="shared" si="1"/>
        <v>0</v>
      </c>
      <c r="AP23" s="40">
        <f t="shared" si="1"/>
        <v>0</v>
      </c>
      <c r="AQ23" s="40">
        <f t="shared" si="1"/>
        <v>0</v>
      </c>
      <c r="AR23" s="40">
        <f t="shared" si="1"/>
        <v>0</v>
      </c>
      <c r="AS23" s="40">
        <f t="shared" si="1"/>
        <v>0</v>
      </c>
      <c r="AT23" s="40">
        <f t="shared" si="1"/>
        <v>0</v>
      </c>
      <c r="AU23" s="40">
        <f t="shared" si="1"/>
        <v>0</v>
      </c>
      <c r="AV23" s="40">
        <f t="shared" si="1"/>
        <v>0</v>
      </c>
      <c r="AW23" s="40">
        <f t="shared" si="1"/>
        <v>0</v>
      </c>
      <c r="AX23" s="40">
        <f t="shared" si="1"/>
        <v>0</v>
      </c>
      <c r="AY23" s="40">
        <f t="shared" si="1"/>
        <v>0</v>
      </c>
      <c r="AZ23" s="40">
        <f t="shared" si="1"/>
        <v>0</v>
      </c>
      <c r="BA23" s="40">
        <f t="shared" si="1"/>
        <v>0</v>
      </c>
    </row>
    <row r="24" spans="2:53">
      <c r="C24" t="s">
        <v>292</v>
      </c>
      <c r="D24" t="s">
        <v>293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6A2F0-E170-48A5-8BC0-CC3E9B6C966F}">
  <dimension ref="D13:E13"/>
  <sheetViews>
    <sheetView zoomScale="115" zoomScaleNormal="115" workbookViewId="0">
      <selection activeCell="N8" sqref="N8"/>
    </sheetView>
  </sheetViews>
  <sheetFormatPr defaultRowHeight="13.2"/>
  <sheetData>
    <row r="13" spans="4:5">
      <c r="D13" t="s">
        <v>292</v>
      </c>
      <c r="E13" t="s">
        <v>293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Article Master</vt:lpstr>
      <vt:lpstr>Sheet1</vt:lpstr>
      <vt:lpstr>Work Sheet</vt:lpstr>
      <vt:lpstr>Overall Total Value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anjithak015@outlook.com</cp:lastModifiedBy>
  <cp:revision>1</cp:revision>
  <dcterms:created xsi:type="dcterms:W3CDTF">2022-08-09T07:18:52Z</dcterms:created>
  <dcterms:modified xsi:type="dcterms:W3CDTF">2023-11-10T06:38:42Z</dcterms:modified>
  <cp:category/>
</cp:coreProperties>
</file>